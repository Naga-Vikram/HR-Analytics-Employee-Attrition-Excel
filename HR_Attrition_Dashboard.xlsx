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Lenovo\OneDrive\Desktop\HR-Analytics-Employee-Attrition\"/>
    </mc:Choice>
  </mc:AlternateContent>
  <xr:revisionPtr revIDLastSave="0" documentId="13_ncr:1_{B7228A69-562D-49F7-AB95-6935AAC67B4A}" xr6:coauthVersionLast="47" xr6:coauthVersionMax="47" xr10:uidLastSave="{00000000-0000-0000-0000-000000000000}"/>
  <bookViews>
    <workbookView xWindow="-108" yWindow="-108" windowWidth="23256" windowHeight="13176" xr2:uid="{77E6AAE6-C065-44D0-9A51-060BCBEEA878}"/>
  </bookViews>
  <sheets>
    <sheet name="KPI_Summary" sheetId="4" r:id="rId1"/>
    <sheet name="Attrition_Analysis" sheetId="2" r:id="rId2"/>
    <sheet name="calculation" sheetId="7" state="hidden" r:id="rId3"/>
    <sheet name="Dashboard" sheetId="8" r:id="rId4"/>
  </sheets>
  <definedNames>
    <definedName name="attritionrate">calculation!$B$5</definedName>
    <definedName name="overtimeARrate">calculation!$D$2</definedName>
    <definedName name="Slicer_department">#N/A</definedName>
    <definedName name="Slicer_job_role">#N/A</definedName>
    <definedName name="Slicer_overtime">#N/A</definedName>
    <definedName name="totalemp">calculation!$B$2</definedName>
  </definedNames>
  <calcPr calcId="191029"/>
  <pivotCaches>
    <pivotCache cacheId="2" r:id="rId5"/>
    <pivotCache cacheId="241" r:id="rId6"/>
    <pivotCache cacheId="244" r:id="rId7"/>
    <pivotCache cacheId="247"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ttrition_Final_Data_c0dafa1d-d54d-4cb8-bfaf-d8b496484c1c" name="HR_Attrition_Final_Data" connection="Query - HR_Attrition_Final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7" l="1"/>
  <c r="D2" i="7"/>
  <c r="B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81164F-7C23-476E-BAF6-84021BD1599B}" name="Query - HR_Attrition_Final_Data" description="Connection to the 'HR_Attrition_Final_Data' query in the workbook." type="100" refreshedVersion="8" minRefreshableVersion="5">
    <extLst>
      <ext xmlns:x15="http://schemas.microsoft.com/office/spreadsheetml/2010/11/main" uri="{DE250136-89BD-433C-8126-D09CA5730AF9}">
        <x15:connection id="b3099f6c-bb88-47d7-9077-5033cf234dc1"/>
      </ext>
    </extLst>
  </connection>
  <connection id="2" xr16:uid="{B4D818CF-7280-442B-B4A5-A3D2BA811E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<sst xmlns="http://schemas.openxmlformats.org/spreadsheetml/2006/main" count="27" uniqueCount="23">
  <si>
    <t>Total Employees</t>
  </si>
  <si>
    <t>Attrition Count</t>
  </si>
  <si>
    <t>Overtime Attrition Count</t>
  </si>
  <si>
    <t>Total Overtime Employees</t>
  </si>
  <si>
    <t>Attrition Rate</t>
  </si>
  <si>
    <t>Overtime Attrition Rate</t>
  </si>
  <si>
    <t>No</t>
  </si>
  <si>
    <t>Research &amp; Development</t>
  </si>
  <si>
    <t>Research Scientist</t>
  </si>
  <si>
    <t>Yes</t>
  </si>
  <si>
    <t>Laboratory Technician</t>
  </si>
  <si>
    <t>Manufacturing Director</t>
  </si>
  <si>
    <t>Healthcare Representative</t>
  </si>
  <si>
    <t>Research Director</t>
  </si>
  <si>
    <t>Manager</t>
  </si>
  <si>
    <t>Sales</t>
  </si>
  <si>
    <t>Human Resources</t>
  </si>
  <si>
    <t>Attrition Rate by Department</t>
  </si>
  <si>
    <t>Attrition Rate by Job Role</t>
  </si>
  <si>
    <t>Sales Executive</t>
  </si>
  <si>
    <t>Sales Representative</t>
  </si>
  <si>
    <t>Overtime vs Attrition</t>
  </si>
  <si>
    <t>Employee 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</si>
</sst>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00%;0.00%"/>
    <numFmt numFmtId="165" formatCode="_ * #,##0_ ;_ * \-#,##0_ ;_ * &quot;-&quot;??_ ;_ @_ "/>
  </numFmts>
  <fonts count="7" x14ac:knownFonts="1">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26"/>
      <color theme="3"/>
      <name val="Calibri"/>
      <family val="2"/>
      <scheme val="minor"/>
    </font>
  </fonts>
  <fills count="2">
    <fill>
      <patternFill patternType="none"/>
    </fill>
    <fill>
      <patternFill patternType="gray125"/>
    </fill>
  </fills>
  <borders count="13">
    <border>
      <left/>
      <right/>
      <top/>
      <bottom/>
      <diagonal/>
    </border>
    <border>
      <left/>
      <right/>
      <top/>
      <bottom style="thick">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cellStyleXfs>
  <cellXfs count="23">
    <xf numFmtId="0" fontId="0" fillId="0" borderId="0" xfId="0"/>
    <xf numFmtId="0" fontId="4" fillId="0" borderId="0" xfId="0" applyFont="1"/>
    <xf numFmtId="0" fontId="5" fillId="0" borderId="0" xfId="0" applyFont="1"/>
    <xf numFmtId="0" fontId="4" fillId="0" borderId="0" xfId="0" applyFont="1" applyAlignment="1">
      <alignment horizontal="left"/>
    </xf>
    <xf numFmtId="0" fontId="0" fillId="0" borderId="2" xfId="0" applyBorder="1"/>
    <xf numFmtId="0" fontId="0" fillId="0" borderId="4" xfId="0" applyBorder="1"/>
    <xf numFmtId="0" fontId="0" fillId="0" borderId="5" xfId="0" applyBorder="1"/>
    <xf numFmtId="0" fontId="0" fillId="0" borderId="6" xfId="0" applyBorder="1"/>
    <xf numFmtId="10" fontId="0" fillId="0" borderId="5" xfId="0" applyNumberFormat="1" applyBorder="1"/>
    <xf numFmtId="10" fontId="0" fillId="0" borderId="7" xfId="0" applyNumberFormat="1" applyBorder="1"/>
    <xf numFmtId="165" fontId="0" fillId="0" borderId="3" xfId="0" applyNumberFormat="1" applyBorder="1"/>
    <xf numFmtId="10" fontId="0" fillId="0" borderId="0" xfId="2" applyNumberFormat="1" applyFont="1"/>
    <xf numFmtId="43" fontId="0" fillId="0" borderId="0" xfId="1" applyFont="1"/>
    <xf numFmtId="165" fontId="3" fillId="0" borderId="0" xfId="1" applyNumberFormat="1" applyFont="1" applyAlignment="1">
      <alignment horizontal="right" indent="1"/>
    </xf>
    <xf numFmtId="0" fontId="6" fillId="0" borderId="1" xfId="3" applyFont="1"/>
    <xf numFmtId="0" fontId="5" fillId="0" borderId="9" xfId="0" applyFont="1" applyBorder="1"/>
    <xf numFmtId="0" fontId="5" fillId="0" borderId="8" xfId="0" applyFont="1" applyBorder="1"/>
    <xf numFmtId="0" fontId="5" fillId="0" borderId="10" xfId="0" applyFont="1" applyBorder="1" applyAlignment="1">
      <alignment horizontal="left"/>
    </xf>
    <xf numFmtId="164" fontId="5" fillId="0" borderId="10" xfId="0" applyNumberFormat="1" applyFont="1" applyBorder="1"/>
    <xf numFmtId="0" fontId="5" fillId="0" borderId="11" xfId="0" applyFont="1" applyBorder="1" applyAlignment="1">
      <alignment horizontal="left"/>
    </xf>
    <xf numFmtId="164" fontId="5" fillId="0" borderId="11" xfId="0" applyNumberFormat="1" applyFont="1" applyBorder="1"/>
    <xf numFmtId="0" fontId="5" fillId="0" borderId="12" xfId="0" applyFont="1" applyBorder="1" applyAlignment="1">
      <alignment horizontal="left"/>
    </xf>
    <xf numFmtId="164" fontId="5" fillId="0" borderId="12" xfId="0" applyNumberFormat="1" applyFont="1" applyBorder="1"/>
  </cellXfs>
  <cellStyles count="4">
    <cellStyle name="Comma" xfId="1" builtinId="3"/>
    <cellStyle name="Heading 1" xfId="3" builtinId="16"/>
    <cellStyle name="Normal" xfId="0" builtinId="0"/>
    <cellStyle name="Percent" xfId="2" builtinId="5"/>
  </cellStyles>
  <dxfs count="4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 #,##0_ ;_ * \-#,##0_ ;_ * &quot;-&quot;??_ ;_ @_ "/>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[HR_Attrition_Dashboard.xlsx]Attrition_Analysis!PivotTable3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t>Attrition Rate by Department</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Attrition_Analysis!$A$4:$A$6</c:f>
              <c:strCache>
                <c:ptCount val="3"/>
                <c:pt idx="0">
                  <c:v>Sales</c:v>
                </c:pt>
                <c:pt idx="1">
                  <c:v>Human Resources</c:v>
                </c:pt>
                <c:pt idx="2">
                  <c:v>Research &amp; Development</c:v>
                </c:pt>
              </c:strCache>
            </c:strRef>
          </c:cat>
          <c:val>
            <c:numRef>
              <c:f>Attrition_Analysis!$B$4:$B$6</c:f>
              <c:numCache>
                <c:formatCode>0.00%;\-0.00%;0.00%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D05C-452B-83A8-D2A12A467D31}"/>
            </c:ext>
          </c:extLst>
        </c:ser>
        <c:dLbls>
          <c:dLblPos val="outEnd"/>
          <c:showLegendKey val="0"/>
          <c:showVal val="1"/>
          <c:showCatName val="0"/>
          <c:showSerName val="0"/>
          <c:showPercent val="0"/>
          <c:showBubbleSize val="0"/>
        </c:dLbls>
        <c:gapWidth val="219"/>
        <c:overlap val="-27"/>
        <c:axId val="138464239"/>
        <c:axId val="138462799"/>
      </c:barChart>
      <c:catAx>
        <c:axId val="13846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8462799"/>
        <c:crosses val="autoZero"/>
        <c:auto val="1"/>
        <c:lblAlgn val="ctr"/>
        <c:lblOffset val="100"/>
        <c:noMultiLvlLbl val="0"/>
      </c:catAx>
      <c:valAx>
        <c:axId val="138462799"/>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846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[HR_Attrition_Dashboard.xlsx]Attrition_Analysis!PivotTable5</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0" i="0" u="none" strike="noStrike" baseline="0"/>
              <a:t>Overtime vs Attrition</a:t>
            </a:r>
            <a:endParaRPr lang="en-IN"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2597316180549"/>
          <c:y val="0.32784093757597937"/>
          <c:w val="0.83001534139218514"/>
          <c:h val="0.55738123451251909"/>
        </c:manualLayout>
      </c:layout>
      <c:barChart>
        <c:barDir val="col"/>
        <c:grouping val="clustered"/>
        <c:varyColors val="0"/>
        <c:ser>
          <c:idx val="0"/>
          <c:order val="0"/>
          <c:tx>
            <c:strRef>
              <c:f>Attrition_Analysis!$B$25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Attrition_Analysis!$A$26:$A$27</c:f>
              <c:strCache>
                <c:ptCount val="2"/>
                <c:pt idx="0">
                  <c:v>Yes</c:v>
                </c:pt>
                <c:pt idx="1">
                  <c:v>No</c:v>
                </c:pt>
              </c:strCache>
            </c:strRef>
          </c:cat>
          <c:val>
            <c:numRef>
              <c:f>Attrition_Analysis!$B$26:$B$27</c:f>
              <c:numCache>
                <c:formatCode>0.00%;\-0.00%;0.00%</c:formatCode>
                <c:ptCount val="2"/>
                <c:pt idx="0">
                  <c:v>0.30528846153846156</c:v>
                </c:pt>
                <c:pt idx="1">
                  <c:v>0.10436432637571158</c:v>
                </c:pt>
              </c:numCache>
            </c:numRef>
          </c:val>
          <c:extLst>
            <c:ext xmlns:c16="http://schemas.microsoft.com/office/drawing/2014/chart" uri="{C3380CC4-5D6E-409C-BE32-E72D297353CC}">
              <c16:uniqueId val="{00000000-A947-45D8-9B60-156CBB0462F3}"/>
            </c:ext>
          </c:extLst>
        </c:ser>
        <c:dLbls>
          <c:dLblPos val="outEnd"/>
          <c:showLegendKey val="0"/>
          <c:showVal val="1"/>
          <c:showCatName val="0"/>
          <c:showSerName val="0"/>
          <c:showPercent val="0"/>
          <c:showBubbleSize val="0"/>
        </c:dLbls>
        <c:gapWidth val="219"/>
        <c:overlap val="-27"/>
        <c:axId val="203347919"/>
        <c:axId val="203362319"/>
      </c:barChart>
      <c:catAx>
        <c:axId val="20334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3362319"/>
        <c:crosses val="autoZero"/>
        <c:auto val="1"/>
        <c:lblAlgn val="ctr"/>
        <c:lblOffset val="100"/>
        <c:noMultiLvlLbl val="0"/>
      </c:catAx>
      <c:valAx>
        <c:axId val="203362319"/>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334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281940</xdr:colOff>
      <xdr:row>1</xdr:row>
      <xdr:rowOff>160020</xdr:rowOff>
    </xdr:from>
    <xdr:to>
      <xdr:col>6</xdr:col>
      <xdr:colOff>281940</xdr:colOff>
      <xdr:row>12</xdr:row>
      <xdr:rowOff>219075</xdr:rowOff>
    </xdr:to>
    <mc:AlternateContent xmlns:mc="http://schemas.openxmlformats.org/markup-compatibility/2006">
      <mc:Choice xmlns:a14="http://schemas.microsoft.com/office/drawing/2010/main" Requires="a14">
        <xdr:graphicFrame macro="">
          <xdr:nvGraphicFramePr>
            <xdr:cNvPr id="2" name="epartment">
              <a:extLst>
                <a:ext uri="{FF2B5EF4-FFF2-40B4-BE49-F238E27FC236}">
                  <a16:creationId xmlns:a16="http://schemas.microsoft.com/office/drawing/2014/main" id="{379F38E8-E84C-C6AE-EEC1-2347476A1F7F}"/>
                </a:ext>
              </a:extLst>
            </xdr:cNvPr>
            <xdr:cNvGraphicFramePr/>
          </xdr:nvGraphicFramePr>
          <xdr:xfrm>
            <a:off x="0" y="0"/>
            <a:ext cx="0" cy="0"/>
          </xdr:xfrm>
          <a:graphic>
            <a:graphicData uri="http://schemas.microsoft.com/office/drawing/2010/slicer">
              <sle:slicer xmlns:sle="http://schemas.microsoft.com/office/drawing/2010/slicer" name="epartment"/>
            </a:graphicData>
          </a:graphic>
        </xdr:graphicFrame>
      </mc:Choice>
      <mc:Fallback>
        <xdr:sp macro="" textlink="">
          <xdr:nvSpPr>
            <xdr:cNvPr id="0" name=""/>
            <xdr:cNvSpPr>
              <a:spLocks noTextEdit="1"/>
            </xdr:cNvSpPr>
          </xdr:nvSpPr>
          <xdr:spPr>
            <a:xfrm>
              <a:off x="4683611" y="339314"/>
              <a:ext cx="1828800" cy="2461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304800</xdr:colOff>
      <xdr:row>14</xdr:row>
      <xdr:rowOff>83820</xdr:rowOff>
    </xdr:from>
    <xdr:to>
      <xdr:col>6</xdr:col>
      <xdr:colOff>304800</xdr:colOff>
      <xdr:row>25</xdr:row>
      <xdr:rowOff>158115</xdr:rowOff>
    </xdr:to>
    <mc:AlternateContent xmlns:mc="http://schemas.openxmlformats.org/markup-compatibility/2006">
      <mc:Choice xmlns:a14="http://schemas.microsoft.com/office/drawing/2010/main" Requires="a14">
        <xdr:graphicFrame macro="">
          <xdr:nvGraphicFramePr>
            <xdr:cNvPr id="3" name="job_role">
              <a:extLst>
                <a:ext uri="{FF2B5EF4-FFF2-40B4-BE49-F238E27FC236}">
                  <a16:creationId xmlns:a16="http://schemas.microsoft.com/office/drawing/2014/main" id="{194E8689-EA89-E508-4183-CD3F43260E13}"/>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4706471" y="3131820"/>
              <a:ext cx="1828800" cy="2476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oneCellAnchor>
    <xdr:from>
      <xdr:col>1</xdr:col>
      <xdr:colOff>464820</xdr:colOff>
      <xdr:row>2</xdr:row>
      <xdr:rowOff>144780</xdr:rowOff>
    </xdr:from>
    <xdr:ext cx="990600" cy="396240"/>
    <xdr:sp macro="" textlink="">
      <xdr:nvSpPr>
        <xdr:cNvPr id="2" name="TextBox 1">
          <a:extLst>
            <a:ext uri="{FF2B5EF4-FFF2-40B4-BE49-F238E27FC236}">
              <a16:creationId xmlns:a16="http://schemas.microsoft.com/office/drawing/2014/main" id="{8EE62045-C7C9-514A-DCC0-79FD14BD135E}"/>
            </a:ext>
          </a:extLst>
        </xdr:cNvPr>
        <xdr:cNvSpPr txBox="1"/>
      </xdr:nvSpPr>
      <xdr:spPr>
        <a:xfrm>
          <a:off x="1074420" y="510540"/>
          <a:ext cx="99060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160019</xdr:colOff>
      <xdr:row>1</xdr:row>
      <xdr:rowOff>110836</xdr:rowOff>
    </xdr:from>
    <xdr:to>
      <xdr:col>8</xdr:col>
      <xdr:colOff>443344</xdr:colOff>
      <xdr:row>8</xdr:row>
      <xdr:rowOff>83127</xdr:rowOff>
    </xdr:to>
    <xdr:sp macro="" textlink="">
      <xdr:nvSpPr>
        <xdr:cNvPr id="8" name="Rectangle 7">
          <a:extLst>
            <a:ext uri="{FF2B5EF4-FFF2-40B4-BE49-F238E27FC236}">
              <a16:creationId xmlns:a16="http://schemas.microsoft.com/office/drawing/2014/main" id="{5955507F-2FA7-42D2-8931-AA33B7862274}"/>
            </a:ext>
          </a:extLst>
        </xdr:cNvPr>
        <xdr:cNvSpPr/>
      </xdr:nvSpPr>
      <xdr:spPr>
        <a:xfrm>
          <a:off x="3208019" y="512618"/>
          <a:ext cx="2112125" cy="1246909"/>
        </a:xfrm>
        <a:prstGeom prst="rect">
          <a:avLst/>
        </a:prstGeom>
        <a:solidFill>
          <a:schemeClr val="accent5">
            <a:lumMod val="40000"/>
            <a:lumOff val="60000"/>
          </a:schemeClr>
        </a:solid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1400" b="1" i="0" u="none" strike="noStrike">
              <a:solidFill>
                <a:schemeClr val="dk1"/>
              </a:solidFill>
              <a:effectLst/>
              <a:latin typeface="+mn-lt"/>
              <a:ea typeface="+mn-ea"/>
              <a:cs typeface="+mn-cs"/>
            </a:rPr>
            <a:t> </a:t>
          </a:r>
          <a:r>
            <a:rPr lang="en-IN" sz="2000" b="1" i="0" u="none" strike="noStrike">
              <a:solidFill>
                <a:schemeClr val="dk1"/>
              </a:solidFill>
              <a:effectLst/>
              <a:latin typeface="+mn-lt"/>
              <a:ea typeface="+mn-ea"/>
              <a:cs typeface="+mn-cs"/>
            </a:rPr>
            <a:t>Attrition Rate </a:t>
          </a:r>
        </a:p>
      </xdr:txBody>
    </xdr:sp>
    <xdr:clientData/>
  </xdr:twoCellAnchor>
  <xdr:twoCellAnchor>
    <xdr:from>
      <xdr:col>1</xdr:col>
      <xdr:colOff>7619</xdr:colOff>
      <xdr:row>1</xdr:row>
      <xdr:rowOff>96981</xdr:rowOff>
    </xdr:from>
    <xdr:to>
      <xdr:col>4</xdr:col>
      <xdr:colOff>292019</xdr:colOff>
      <xdr:row>8</xdr:row>
      <xdr:rowOff>67963</xdr:rowOff>
    </xdr:to>
    <xdr:sp macro="" textlink="">
      <xdr:nvSpPr>
        <xdr:cNvPr id="5" name="Rectangle 4">
          <a:extLst>
            <a:ext uri="{FF2B5EF4-FFF2-40B4-BE49-F238E27FC236}">
              <a16:creationId xmlns:a16="http://schemas.microsoft.com/office/drawing/2014/main" id="{37F86915-EB78-07BD-2589-1D14A16F96E1}"/>
            </a:ext>
          </a:extLst>
        </xdr:cNvPr>
        <xdr:cNvSpPr/>
      </xdr:nvSpPr>
      <xdr:spPr>
        <a:xfrm>
          <a:off x="617219" y="526472"/>
          <a:ext cx="2113200" cy="1245600"/>
        </a:xfrm>
        <a:prstGeom prst="rect">
          <a:avLst/>
        </a:prstGeom>
        <a:solidFill>
          <a:schemeClr val="accent5">
            <a:lumMod val="40000"/>
            <a:lumOff val="60000"/>
          </a:schemeClr>
        </a:solid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0" u="none" strike="noStrike">
              <a:solidFill>
                <a:schemeClr val="dk1"/>
              </a:solidFill>
              <a:effectLst/>
              <a:latin typeface="+mn-lt"/>
              <a:ea typeface="+mn-ea"/>
              <a:cs typeface="+mn-cs"/>
            </a:rPr>
            <a:t>  </a:t>
          </a:r>
          <a:r>
            <a:rPr lang="en-IN" sz="2000" b="1" i="0" u="none" strike="noStrike">
              <a:solidFill>
                <a:schemeClr val="dk1"/>
              </a:solidFill>
              <a:effectLst/>
              <a:latin typeface="+mn-lt"/>
              <a:ea typeface="+mn-ea"/>
              <a:cs typeface="+mn-cs"/>
            </a:rPr>
            <a:t>Total Employees</a:t>
          </a:r>
          <a:r>
            <a:rPr lang="en-IN" sz="2000" b="1">
              <a:effectLst/>
            </a:rPr>
            <a:t> </a:t>
          </a:r>
          <a:endParaRPr lang="en-IN" sz="2000" b="1"/>
        </a:p>
      </xdr:txBody>
    </xdr:sp>
    <xdr:clientData/>
  </xdr:twoCellAnchor>
  <xdr:twoCellAnchor>
    <xdr:from>
      <xdr:col>1</xdr:col>
      <xdr:colOff>45720</xdr:colOff>
      <xdr:row>4</xdr:row>
      <xdr:rowOff>60960</xdr:rowOff>
    </xdr:from>
    <xdr:to>
      <xdr:col>4</xdr:col>
      <xdr:colOff>0</xdr:colOff>
      <xdr:row>7</xdr:row>
      <xdr:rowOff>27709</xdr:rowOff>
    </xdr:to>
    <xdr:sp macro="" textlink="totalemp">
      <xdr:nvSpPr>
        <xdr:cNvPr id="2" name="TextBox 1">
          <a:extLst>
            <a:ext uri="{FF2B5EF4-FFF2-40B4-BE49-F238E27FC236}">
              <a16:creationId xmlns:a16="http://schemas.microsoft.com/office/drawing/2014/main" id="{867C24ED-7BA6-2E71-EED6-B1AF85AF79FA}"/>
            </a:ext>
          </a:extLst>
        </xdr:cNvPr>
        <xdr:cNvSpPr txBox="1"/>
      </xdr:nvSpPr>
      <xdr:spPr>
        <a:xfrm>
          <a:off x="655320" y="1044633"/>
          <a:ext cx="1783080" cy="507076"/>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38CE34-4ABE-446F-870D-F53F1563EF79}" type="TxLink">
            <a:rPr lang="en-US" sz="2400" b="0" i="0" u="none" strike="noStrike">
              <a:solidFill>
                <a:srgbClr val="000000"/>
              </a:solidFill>
              <a:latin typeface="Calibri"/>
              <a:cs typeface="Calibri"/>
            </a:rPr>
            <a:pPr algn="ctr"/>
            <a:t> 1,470 </a:t>
          </a:fld>
          <a:endParaRPr lang="en-IN" sz="2400"/>
        </a:p>
      </xdr:txBody>
    </xdr:sp>
    <xdr:clientData/>
  </xdr:twoCellAnchor>
  <xdr:twoCellAnchor>
    <xdr:from>
      <xdr:col>9</xdr:col>
      <xdr:colOff>277782</xdr:colOff>
      <xdr:row>1</xdr:row>
      <xdr:rowOff>124692</xdr:rowOff>
    </xdr:from>
    <xdr:to>
      <xdr:col>12</xdr:col>
      <xdr:colOff>562182</xdr:colOff>
      <xdr:row>8</xdr:row>
      <xdr:rowOff>95674</xdr:rowOff>
    </xdr:to>
    <xdr:sp macro="" textlink="">
      <xdr:nvSpPr>
        <xdr:cNvPr id="9" name="Rectangle 8">
          <a:extLst>
            <a:ext uri="{FF2B5EF4-FFF2-40B4-BE49-F238E27FC236}">
              <a16:creationId xmlns:a16="http://schemas.microsoft.com/office/drawing/2014/main" id="{84033085-50E7-4773-8ACB-AD30F0B3DD12}"/>
            </a:ext>
          </a:extLst>
        </xdr:cNvPr>
        <xdr:cNvSpPr/>
      </xdr:nvSpPr>
      <xdr:spPr>
        <a:xfrm>
          <a:off x="5764182" y="554183"/>
          <a:ext cx="2113200" cy="1245600"/>
        </a:xfrm>
        <a:prstGeom prst="rect">
          <a:avLst/>
        </a:prstGeom>
        <a:solidFill>
          <a:schemeClr val="accent5">
            <a:lumMod val="40000"/>
            <a:lumOff val="60000"/>
          </a:schemeClr>
        </a:solid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lvl="0" indent="0" algn="ctr"/>
          <a:r>
            <a:rPr lang="en-IN" sz="2000" b="1" i="0" u="none" strike="noStrike">
              <a:solidFill>
                <a:schemeClr val="dk1"/>
              </a:solidFill>
              <a:effectLst/>
              <a:latin typeface="+mn-lt"/>
              <a:ea typeface="+mn-ea"/>
              <a:cs typeface="+mn-cs"/>
            </a:rPr>
            <a:t>Overtime</a:t>
          </a:r>
          <a:r>
            <a:rPr lang="en-IN" sz="1400" b="1" i="0" u="none" strike="noStrike">
              <a:solidFill>
                <a:schemeClr val="dk1"/>
              </a:solidFill>
              <a:effectLst/>
              <a:latin typeface="+mn-lt"/>
              <a:ea typeface="+mn-ea"/>
              <a:cs typeface="+mn-cs"/>
            </a:rPr>
            <a:t>                                  </a:t>
          </a:r>
        </a:p>
      </xdr:txBody>
    </xdr:sp>
    <xdr:clientData/>
  </xdr:twoCellAnchor>
  <xdr:twoCellAnchor>
    <xdr:from>
      <xdr:col>5</xdr:col>
      <xdr:colOff>476596</xdr:colOff>
      <xdr:row>5</xdr:row>
      <xdr:rowOff>5541</xdr:rowOff>
    </xdr:from>
    <xdr:to>
      <xdr:col>8</xdr:col>
      <xdr:colOff>179416</xdr:colOff>
      <xdr:row>6</xdr:row>
      <xdr:rowOff>139930</xdr:rowOff>
    </xdr:to>
    <xdr:sp macro="" textlink="attritionrate">
      <xdr:nvSpPr>
        <xdr:cNvPr id="10" name="TextBox 9">
          <a:extLst>
            <a:ext uri="{FF2B5EF4-FFF2-40B4-BE49-F238E27FC236}">
              <a16:creationId xmlns:a16="http://schemas.microsoft.com/office/drawing/2014/main" id="{3561DA1A-2F14-D8AA-E37F-2F8483CEBC44}"/>
            </a:ext>
          </a:extLst>
        </xdr:cNvPr>
        <xdr:cNvSpPr txBox="1"/>
      </xdr:nvSpPr>
      <xdr:spPr>
        <a:xfrm>
          <a:off x="3524596" y="1141614"/>
          <a:ext cx="1531620" cy="314498"/>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2F931F-A833-4571-9846-AFD2ECD0087C}" type="TxLink">
            <a:rPr lang="en-US" sz="2400" b="0" i="0" u="none" strike="noStrike">
              <a:solidFill>
                <a:srgbClr val="000000"/>
              </a:solidFill>
              <a:latin typeface="Calibri"/>
              <a:ea typeface="+mn-ea"/>
              <a:cs typeface="Calibri"/>
            </a:rPr>
            <a:pPr marL="0" indent="0" algn="ctr"/>
            <a:t>16.12%</a:t>
          </a:fld>
          <a:endParaRPr lang="en-IN" sz="2400" b="0" i="0" u="none" strike="noStrike">
            <a:solidFill>
              <a:srgbClr val="000000"/>
            </a:solidFill>
            <a:latin typeface="Calibri"/>
            <a:ea typeface="+mn-ea"/>
            <a:cs typeface="Calibri"/>
          </a:endParaRPr>
        </a:p>
      </xdr:txBody>
    </xdr:sp>
    <xdr:clientData/>
  </xdr:twoCellAnchor>
  <xdr:twoCellAnchor>
    <xdr:from>
      <xdr:col>10</xdr:col>
      <xdr:colOff>15240</xdr:colOff>
      <xdr:row>5</xdr:row>
      <xdr:rowOff>20781</xdr:rowOff>
    </xdr:from>
    <xdr:to>
      <xdr:col>12</xdr:col>
      <xdr:colOff>243840</xdr:colOff>
      <xdr:row>6</xdr:row>
      <xdr:rowOff>119841</xdr:rowOff>
    </xdr:to>
    <xdr:sp macro="" textlink="overtimeARrate">
      <xdr:nvSpPr>
        <xdr:cNvPr id="11" name="TextBox 10">
          <a:extLst>
            <a:ext uri="{FF2B5EF4-FFF2-40B4-BE49-F238E27FC236}">
              <a16:creationId xmlns:a16="http://schemas.microsoft.com/office/drawing/2014/main" id="{9BFAB593-E292-136C-9D75-7CB988284C1E}"/>
            </a:ext>
          </a:extLst>
        </xdr:cNvPr>
        <xdr:cNvSpPr txBox="1"/>
      </xdr:nvSpPr>
      <xdr:spPr>
        <a:xfrm>
          <a:off x="6111240" y="1156854"/>
          <a:ext cx="1447800" cy="279169"/>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E5526D-C8AF-4E84-A0A8-0C731576D588}" type="TxLink">
            <a:rPr lang="en-US" sz="2400" b="0" i="0" u="none" strike="noStrike">
              <a:solidFill>
                <a:srgbClr val="000000"/>
              </a:solidFill>
              <a:latin typeface="Calibri"/>
              <a:ea typeface="+mn-ea"/>
              <a:cs typeface="Calibri"/>
            </a:rPr>
            <a:pPr marL="0" indent="0" algn="ctr"/>
            <a:t>30.53%</a:t>
          </a:fld>
          <a:endParaRPr lang="en-IN" sz="2400" b="0" i="0" u="none" strike="noStrike">
            <a:solidFill>
              <a:srgbClr val="000000"/>
            </a:solidFill>
            <a:latin typeface="Calibri"/>
            <a:ea typeface="+mn-ea"/>
            <a:cs typeface="Calibri"/>
          </a:endParaRPr>
        </a:p>
      </xdr:txBody>
    </xdr:sp>
    <xdr:clientData/>
  </xdr:twoCellAnchor>
  <xdr:twoCellAnchor>
    <xdr:from>
      <xdr:col>0</xdr:col>
      <xdr:colOff>607917</xdr:colOff>
      <xdr:row>10</xdr:row>
      <xdr:rowOff>72835</xdr:rowOff>
    </xdr:from>
    <xdr:to>
      <xdr:col>11</xdr:col>
      <xdr:colOff>243840</xdr:colOff>
      <xdr:row>27</xdr:row>
      <xdr:rowOff>45720</xdr:rowOff>
    </xdr:to>
    <xdr:graphicFrame macro="">
      <xdr:nvGraphicFramePr>
        <xdr:cNvPr id="12" name="Chart 11">
          <a:extLst>
            <a:ext uri="{FF2B5EF4-FFF2-40B4-BE49-F238E27FC236}">
              <a16:creationId xmlns:a16="http://schemas.microsoft.com/office/drawing/2014/main" id="{088D2F0A-F918-44E3-AAA6-EF2255326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26721</xdr:colOff>
      <xdr:row>28</xdr:row>
      <xdr:rowOff>44336</xdr:rowOff>
    </xdr:from>
    <xdr:to>
      <xdr:col>11</xdr:col>
      <xdr:colOff>281940</xdr:colOff>
      <xdr:row>46</xdr:row>
      <xdr:rowOff>166850</xdr:rowOff>
    </xdr:to>
    <xdr:graphicFrame macro="">
      <xdr:nvGraphicFramePr>
        <xdr:cNvPr id="14" name="Chart 13">
          <a:extLst>
            <a:ext uri="{FF2B5EF4-FFF2-40B4-BE49-F238E27FC236}">
              <a16:creationId xmlns:a16="http://schemas.microsoft.com/office/drawing/2014/main" id="{78713B19-9134-4D1C-8102-1B35325FF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184958</xdr:colOff>
      <xdr:row>10</xdr:row>
      <xdr:rowOff>155172</xdr:rowOff>
    </xdr:from>
    <xdr:to>
      <xdr:col>16</xdr:col>
      <xdr:colOff>143558</xdr:colOff>
      <xdr:row>18</xdr:row>
      <xdr:rowOff>171105</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6C8EA8F3-0E1F-EA96-FEF9-93B7334496A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500158" y="2219499"/>
              <a:ext cx="2397000" cy="1456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148342</xdr:colOff>
      <xdr:row>29</xdr:row>
      <xdr:rowOff>80159</xdr:rowOff>
    </xdr:from>
    <xdr:to>
      <xdr:col>16</xdr:col>
      <xdr:colOff>106942</xdr:colOff>
      <xdr:row>46</xdr:row>
      <xdr:rowOff>41365</xdr:rowOff>
    </xdr:to>
    <mc:AlternateContent xmlns:mc="http://schemas.openxmlformats.org/markup-compatibility/2006">
      <mc:Choice xmlns:a14="http://schemas.microsoft.com/office/drawing/2010/main" Requires="a14">
        <xdr:graphicFrame macro="">
          <xdr:nvGraphicFramePr>
            <xdr:cNvPr id="16" name="job_role 1">
              <a:extLst>
                <a:ext uri="{FF2B5EF4-FFF2-40B4-BE49-F238E27FC236}">
                  <a16:creationId xmlns:a16="http://schemas.microsoft.com/office/drawing/2014/main" id="{C0F62612-B0C2-44F3-AF11-88A4EA0DDCDD}"/>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dr:sp macro="" textlink="">
          <xdr:nvSpPr>
            <xdr:cNvPr id="0" name=""/>
            <xdr:cNvSpPr>
              <a:spLocks noTextEdit="1"/>
            </xdr:cNvSpPr>
          </xdr:nvSpPr>
          <xdr:spPr>
            <a:xfrm>
              <a:off x="7463542" y="5566559"/>
              <a:ext cx="2397000" cy="3023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162295</xdr:colOff>
      <xdr:row>20</xdr:row>
      <xdr:rowOff>9994</xdr:rowOff>
    </xdr:from>
    <xdr:to>
      <xdr:col>16</xdr:col>
      <xdr:colOff>138545</xdr:colOff>
      <xdr:row>28</xdr:row>
      <xdr:rowOff>28302</xdr:rowOff>
    </xdr:to>
    <mc:AlternateContent xmlns:mc="http://schemas.openxmlformats.org/markup-compatibility/2006">
      <mc:Choice xmlns:a14="http://schemas.microsoft.com/office/drawing/2010/main" Requires="a14">
        <xdr:graphicFrame macro="">
          <xdr:nvGraphicFramePr>
            <xdr:cNvPr id="17" name="overtime">
              <a:extLst>
                <a:ext uri="{FF2B5EF4-FFF2-40B4-BE49-F238E27FC236}">
                  <a16:creationId xmlns:a16="http://schemas.microsoft.com/office/drawing/2014/main" id="{0D3F5297-2D1A-6481-BB45-79D6AA09A6C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7477495" y="3875412"/>
              <a:ext cx="2414650" cy="1459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ram blvss" refreshedDate="46072.611920601848" backgroundQuery="1" createdVersion="8" refreshedVersion="8" minRefreshableVersion="3" recordCount="0" supportSubquery="1" supportAdvancedDrill="1" xr:uid="{E71C6A58-91A7-48F6-93D8-7ED0963CD1DA}">
  <cacheSource type="external" connectionId="2"/>
  <cacheFields count="6">
    <cacheField name="[Measures].[Total Employees]" caption="Total Employees" numFmtId="0" hierarchy="9" level="32767"/>
    <cacheField name="[Measures].[Attrition Count]" caption="Attrition Count" numFmtId="0" hierarchy="10" level="32767"/>
    <cacheField name="[Measures].[Attrition Rate]" caption="Attrition Rate" numFmtId="0" hierarchy="11" level="32767"/>
    <cacheField name="[Measures].[Overtime Attrition Count]" caption="Overtime Attrition Count" numFmtId="0" hierarchy="12" level="32767"/>
    <cacheField name="[Measures].[Overtime Attrition Rate]" caption="Overtime Attrition Rate" numFmtId="0" hierarchy="14" level="32767"/>
    <cacheField name="[Measures].[Total Overtime Employees]" caption="Total Overtime Employees" numFmtId="0" hierarchy="13" level="32767"/>
  </cacheFields>
  <cacheHierarchies count="17">
    <cacheHierarchy uniqueName="[HR_Attrition_Final_Data].[employee_id]" caption="employee_id" attribute="1" defaultMemberUniqueName="[HR_Attrition_Final_Data].[employee_id].[All]" allUniqueName="[HR_Attrition_Final_Data].[employee_id].[All]" dimensionUniqueName="[HR_Attrition_Final_Data]" displayFolder="" count="0" memberValueDatatype="20" unbalanced="0"/>
    <cacheHierarchy uniqueName="[HR_Attrition_Final_Data].[attrition]" caption="attrition" attribute="1" defaultMemberUniqueName="[HR_Attrition_Final_Data].[attrition].[All]" allUniqueName="[HR_Attrition_Final_Data].[attrition].[All]" dimensionUniqueName="[HR_Attrition_Final_Data]" displayFolder="" count="0" memberValueDatatype="130" unbalanced="0"/>
    <cacheHierarchy uniqueName="[HR_Attrition_Final_Data].[department]" caption="department" attribute="1" defaultMemberUniqueName="[HR_Attrition_Final_Data].[department].[All]" allUniqueName="[HR_Attrition_Final_Data].[department].[All]" dimensionUniqueName="[HR_Attrition_Final_Data]" displayFolder="" count="0" memberValueDatatype="130" unbalanced="0"/>
    <cacheHierarchy uniqueName="[HR_Attrition_Final_Data].[job_role]" caption="job_role" attribute="1" defaultMemberUniqueName="[HR_Attrition_Final_Data].[job_role].[All]" allUniqueName="[HR_Attrition_Final_Data].[job_role].[All]" dimensionUniqueName="[HR_Attrition_Final_Data]" displayFolder="" count="0" memberValueDatatype="130" unbalanced="0"/>
    <cacheHierarchy uniqueName="[HR_Attrition_Final_Data].[monthly_income]" caption="monthly_income" attribute="1" defaultMemberUniqueName="[HR_Attrition_Final_Data].[monthly_income].[All]" allUniqueName="[HR_Attrition_Final_Data].[monthly_income].[All]" dimensionUniqueName="[HR_Attrition_Final_Data]" displayFolder="" count="0" memberValueDatatype="5" unbalanced="0"/>
    <cacheHierarchy uniqueName="[HR_Attrition_Final_Data].[overtime]" caption="overtime" attribute="1" defaultMemberUniqueName="[HR_Attrition_Final_Data].[overtime].[All]" allUniqueName="[HR_Attrition_Final_Data].[overtime].[All]" dimensionUniqueName="[HR_Attrition_Final_Data]" displayFolder="" count="0" memberValueDatatype="130" unbalanced="0"/>
    <cacheHierarchy uniqueName="[HR_Attrition_Final_Data].[years_at_company]" caption="years_at_company" attribute="1" defaultMemberUniqueName="[HR_Attrition_Final_Data].[years_at_company].[All]" allUniqueName="[HR_Attrition_Final_Data].[years_at_company].[All]" dimensionUniqueName="[HR_Attrition_Final_Data]" displayFolder="" count="0" memberValueDatatype="20" unbalanced="0"/>
    <cacheHierarchy uniqueName="[HR_Attrition_Final_Data].[age]" caption="age" attribute="1" defaultMemberUniqueName="[HR_Attrition_Final_Data].[age].[All]" allUniqueName="[HR_Attrition_Final_Data].[age].[All]" dimensionUniqueName="[HR_Attrition_Final_Data]" displayFolder="" count="0" memberValueDatatype="20" unbalanced="0"/>
    <cacheHierarchy uniqueName="[HR_Attrition_Final_Data].[gender]" caption="gender" attribute="1" defaultMemberUniqueName="[HR_Attrition_Final_Data].[gender].[All]" allUniqueName="[HR_Attrition_Final_Data].[gender].[All]" dimensionUniqueName="[HR_Attrition_Final_Data]" displayFolder="" count="0" memberValueDatatype="130" unbalanced="0"/>
    <cacheHierarchy uniqueName="[Measures].[Total Employees]" caption="Total Employees" measure="1" displayFolder="" measureGroup="HR_Attrition_Final_Data" count="0" oneField="1">
      <fieldsUsage count="1">
        <fieldUsage x="0"/>
      </fieldsUsage>
    </cacheHierarchy>
    <cacheHierarchy uniqueName="[Measures].[Attrition Count]" caption="Attrition Count" measure="1" displayFolder="" measureGroup="HR_Attrition_Final_Data" count="0" oneField="1">
      <fieldsUsage count="1">
        <fieldUsage x="1"/>
      </fieldsUsage>
    </cacheHierarchy>
    <cacheHierarchy uniqueName="[Measures].[Attrition Rate]" caption="Attrition Rate" measure="1" displayFolder="" measureGroup="HR_Attrition_Final_Data" count="0" oneField="1">
      <fieldsUsage count="1">
        <fieldUsage x="2"/>
      </fieldsUsage>
    </cacheHierarchy>
    <cacheHierarchy uniqueName="[Measures].[Overtime Attrition Count]" caption="Overtime Attrition Count" measure="1" displayFolder="" measureGroup="HR_Attrition_Final_Data" count="0" oneField="1">
      <fieldsUsage count="1">
        <fieldUsage x="3"/>
      </fieldsUsage>
    </cacheHierarchy>
    <cacheHierarchy uniqueName="[Measures].[Total Overtime Employees]" caption="Total Overtime Employees" measure="1" displayFolder="" measureGroup="HR_Attrition_Final_Data" count="0" oneField="1">
      <fieldsUsage count="1">
        <fieldUsage x="5"/>
      </fieldsUsage>
    </cacheHierarchy>
    <cacheHierarchy uniqueName="[Measures].[Overtime Attrition Rate]" caption="Overtime Attrition Rate" measure="1" displayFolder="" measureGroup="HR_Attrition_Final_Data" count="0" oneField="1">
      <fieldsUsage count="1">
        <fieldUsage x="4"/>
      </fieldsUsage>
    </cacheHierarchy>
    <cacheHierarchy uniqueName="[Measures].[__XL_Count HR_Attrition_Final_Data]" caption="__XL_Count HR_Attrition_Final_Data" measure="1" displayFolder="" measureGroup="HR_Attrition_Final_Data" count="0" hidden="1"/>
    <cacheHierarchy uniqueName="[Measures].[__No measures defined]" caption="__No measures defined" measure="1" displayFolder="" count="0" hidden="1"/>
  </cacheHierarchies>
  <kpis count="0"/>
  <dimensions count="2">
    <dimension name="HR_Attrition_Final_Data" uniqueName="[HR_Attrition_Final_Data]" caption="HR_Attrition_Final_Data"/>
    <dimension measure="1" name="Measures" uniqueName="[Measures]" caption="Measures"/>
  </dimensions>
  <measureGroups count="1">
    <measureGroup name="HR_Attrition_Final_Data" caption="HR_Attrition_Fin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ram blvss" refreshedDate="46073.508621180554" backgroundQuery="1" createdVersion="8" refreshedVersion="8" minRefreshableVersion="3" recordCount="0" supportSubquery="1" supportAdvancedDrill="1" xr:uid="{A94717B4-C486-4D55-986E-7263468D4638}">
  <cacheSource type="external" connectionId="2"/>
  <cacheFields count="2">
    <cacheField name="[HR_Attrition_Final_Data].[department].[department]" caption="department" numFmtId="0" hierarchy="2" level="1">
      <sharedItems count="3">
        <s v="Human Resources"/>
        <s v="Research &amp; Development"/>
        <s v="Sales"/>
      </sharedItems>
    </cacheField>
    <cacheField name="[Measures].[Attrition Rate]" caption="Attrition Rate" numFmtId="0" hierarchy="11" level="32767"/>
  </cacheFields>
  <cacheHierarchies count="17">
    <cacheHierarchy uniqueName="[HR_Attrition_Final_Data].[employee_id]" caption="employee_id" attribute="1" defaultMemberUniqueName="[HR_Attrition_Final_Data].[employee_id].[All]" allUniqueName="[HR_Attrition_Final_Data].[employee_id].[All]" dimensionUniqueName="[HR_Attrition_Final_Data]" displayFolder="" count="0" memberValueDatatype="20" unbalanced="0"/>
    <cacheHierarchy uniqueName="[HR_Attrition_Final_Data].[attrition]" caption="attrition" attribute="1" defaultMemberUniqueName="[HR_Attrition_Final_Data].[attrition].[All]" allUniqueName="[HR_Attrition_Final_Data].[attrition].[All]" dimensionUniqueName="[HR_Attrition_Final_Data]" displayFolder="" count="0" memberValueDatatype="130" unbalanced="0"/>
    <cacheHierarchy uniqueName="[HR_Attrition_Final_Data].[department]" caption="department" attribute="1" defaultMemberUniqueName="[HR_Attrition_Final_Data].[department].[All]" allUniqueName="[HR_Attrition_Final_Data].[department].[All]" dimensionUniqueName="[HR_Attrition_Final_Data]" displayFolder="" count="2" memberValueDatatype="130" unbalanced="0">
      <fieldsUsage count="2">
        <fieldUsage x="-1"/>
        <fieldUsage x="0"/>
      </fieldsUsage>
    </cacheHierarchy>
    <cacheHierarchy uniqueName="[HR_Attrition_Final_Data].[job_role]" caption="job_role" attribute="1" defaultMemberUniqueName="[HR_Attrition_Final_Data].[job_role].[All]" allUniqueName="[HR_Attrition_Final_Data].[job_role].[All]" dimensionUniqueName="[HR_Attrition_Final_Data]" displayFolder="" count="2" memberValueDatatype="130" unbalanced="0"/>
    <cacheHierarchy uniqueName="[HR_Attrition_Final_Data].[monthly_income]" caption="monthly_income" attribute="1" defaultMemberUniqueName="[HR_Attrition_Final_Data].[monthly_income].[All]" allUniqueName="[HR_Attrition_Final_Data].[monthly_income].[All]" dimensionUniqueName="[HR_Attrition_Final_Data]" displayFolder="" count="0" memberValueDatatype="5" unbalanced="0"/>
    <cacheHierarchy uniqueName="[HR_Attrition_Final_Data].[overtime]" caption="overtime" attribute="1" defaultMemberUniqueName="[HR_Attrition_Final_Data].[overtime].[All]" allUniqueName="[HR_Attrition_Final_Data].[overtime].[All]" dimensionUniqueName="[HR_Attrition_Final_Data]" displayFolder="" count="2" memberValueDatatype="130" unbalanced="0"/>
    <cacheHierarchy uniqueName="[HR_Attrition_Final_Data].[years_at_company]" caption="years_at_company" attribute="1" defaultMemberUniqueName="[HR_Attrition_Final_Data].[years_at_company].[All]" allUniqueName="[HR_Attrition_Final_Data].[years_at_company].[All]" dimensionUniqueName="[HR_Attrition_Final_Data]" displayFolder="" count="0" memberValueDatatype="20" unbalanced="0"/>
    <cacheHierarchy uniqueName="[HR_Attrition_Final_Data].[age]" caption="age" attribute="1" defaultMemberUniqueName="[HR_Attrition_Final_Data].[age].[All]" allUniqueName="[HR_Attrition_Final_Data].[age].[All]" dimensionUniqueName="[HR_Attrition_Final_Data]" displayFolder="" count="0" memberValueDatatype="20" unbalanced="0"/>
    <cacheHierarchy uniqueName="[HR_Attrition_Final_Data].[gender]" caption="gender" attribute="1" defaultMemberUniqueName="[HR_Attrition_Final_Data].[gender].[All]" allUniqueName="[HR_Attrition_Final_Data].[gender].[All]" dimensionUniqueName="[HR_Attrition_Final_Data]" displayFolder="" count="0" memberValueDatatype="130" unbalanced="0"/>
    <cacheHierarchy uniqueName="[Measures].[Total Employees]" caption="Total Employees" measure="1" displayFolder="" measureGroup="HR_Attrition_Final_Data" count="0"/>
    <cacheHierarchy uniqueName="[Measures].[Attrition Count]" caption="Attrition Count" measure="1" displayFolder="" measureGroup="HR_Attrition_Final_Data" count="0"/>
    <cacheHierarchy uniqueName="[Measures].[Attrition Rate]" caption="Attrition Rate" measure="1" displayFolder="" measureGroup="HR_Attrition_Final_Data" count="0" oneField="1">
      <fieldsUsage count="1">
        <fieldUsage x="1"/>
      </fieldsUsage>
    </cacheHierarchy>
    <cacheHierarchy uniqueName="[Measures].[Overtime Attrition Count]" caption="Overtime Attrition Count" measure="1" displayFolder="" measureGroup="HR_Attrition_Final_Data" count="0"/>
    <cacheHierarchy uniqueName="[Measures].[Total Overtime Employees]" caption="Total Overtime Employees" measure="1" displayFolder="" measureGroup="HR_Attrition_Final_Data" count="0"/>
    <cacheHierarchy uniqueName="[Measures].[Overtime Attrition Rate]" caption="Overtime Attrition Rate" measure="1" displayFolder="" measureGroup="HR_Attrition_Final_Data" count="0"/>
    <cacheHierarchy uniqueName="[Measures].[__XL_Count HR_Attrition_Final_Data]" caption="__XL_Count HR_Attrition_Final_Data" measure="1" displayFolder="" measureGroup="HR_Attrition_Final_Data" count="0" hidden="1"/>
    <cacheHierarchy uniqueName="[Measures].[__No measures defined]" caption="__No measures defined" measure="1" displayFolder="" count="0" hidden="1"/>
  </cacheHierarchies>
  <kpis count="0"/>
  <dimensions count="2">
    <dimension name="HR_Attrition_Final_Data" uniqueName="[HR_Attrition_Final_Data]" caption="HR_Attrition_Final_Data"/>
    <dimension measure="1" name="Measures" uniqueName="[Measures]" caption="Measures"/>
  </dimensions>
  <measureGroups count="1">
    <measureGroup name="HR_Attrition_Final_Data" caption="HR_Attrition_Fin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ram blvss" refreshedDate="46073.508622106485" backgroundQuery="1" createdVersion="8" refreshedVersion="8" minRefreshableVersion="3" recordCount="0" supportSubquery="1" supportAdvancedDrill="1" xr:uid="{FAC77B65-65D7-4277-852C-6A0CE1327D7E}">
  <cacheSource type="external" connectionId="2"/>
  <cacheFields count="3">
    <cacheField name="[HR_Attrition_Final_Data].[job_role].[job_role]" caption="job_role" numFmtId="0" hierarchy="3"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caption="Attrition Rate" numFmtId="0" hierarchy="11" level="32767"/>
    <cacheField name="[HR_Attrition_Final_Data].[department].[department]" caption="department" numFmtId="0" hierarchy="2" level="1">
      <sharedItems containsSemiMixedTypes="0" containsNonDate="0" containsString="0"/>
    </cacheField>
  </cacheFields>
  <cacheHierarchies count="17">
    <cacheHierarchy uniqueName="[HR_Attrition_Final_Data].[employee_id]" caption="employee_id" attribute="1" defaultMemberUniqueName="[HR_Attrition_Final_Data].[employee_id].[All]" allUniqueName="[HR_Attrition_Final_Data].[employee_id].[All]" dimensionUniqueName="[HR_Attrition_Final_Data]" displayFolder="" count="0" memberValueDatatype="20" unbalanced="0"/>
    <cacheHierarchy uniqueName="[HR_Attrition_Final_Data].[attrition]" caption="attrition" attribute="1" defaultMemberUniqueName="[HR_Attrition_Final_Data].[attrition].[All]" allUniqueName="[HR_Attrition_Final_Data].[attrition].[All]" dimensionUniqueName="[HR_Attrition_Final_Data]" displayFolder="" count="0" memberValueDatatype="130" unbalanced="0"/>
    <cacheHierarchy uniqueName="[HR_Attrition_Final_Data].[department]" caption="department" attribute="1" defaultMemberUniqueName="[HR_Attrition_Final_Data].[department].[All]" allUniqueName="[HR_Attrition_Final_Data].[department].[All]" dimensionUniqueName="[HR_Attrition_Final_Data]" displayFolder="" count="2" memberValueDatatype="130" unbalanced="0">
      <fieldsUsage count="2">
        <fieldUsage x="-1"/>
        <fieldUsage x="2"/>
      </fieldsUsage>
    </cacheHierarchy>
    <cacheHierarchy uniqueName="[HR_Attrition_Final_Data].[job_role]" caption="job_role" attribute="1" defaultMemberUniqueName="[HR_Attrition_Final_Data].[job_role].[All]" allUniqueName="[HR_Attrition_Final_Data].[job_role].[All]" dimensionUniqueName="[HR_Attrition_Final_Data]" displayFolder="" count="2" memberValueDatatype="130" unbalanced="0">
      <fieldsUsage count="2">
        <fieldUsage x="-1"/>
        <fieldUsage x="0"/>
      </fieldsUsage>
    </cacheHierarchy>
    <cacheHierarchy uniqueName="[HR_Attrition_Final_Data].[monthly_income]" caption="monthly_income" attribute="1" defaultMemberUniqueName="[HR_Attrition_Final_Data].[monthly_income].[All]" allUniqueName="[HR_Attrition_Final_Data].[monthly_income].[All]" dimensionUniqueName="[HR_Attrition_Final_Data]" displayFolder="" count="0" memberValueDatatype="5" unbalanced="0"/>
    <cacheHierarchy uniqueName="[HR_Attrition_Final_Data].[overtime]" caption="overtime" attribute="1" defaultMemberUniqueName="[HR_Attrition_Final_Data].[overtime].[All]" allUniqueName="[HR_Attrition_Final_Data].[overtime].[All]" dimensionUniqueName="[HR_Attrition_Final_Data]" displayFolder="" count="0" memberValueDatatype="130" unbalanced="0"/>
    <cacheHierarchy uniqueName="[HR_Attrition_Final_Data].[years_at_company]" caption="years_at_company" attribute="1" defaultMemberUniqueName="[HR_Attrition_Final_Data].[years_at_company].[All]" allUniqueName="[HR_Attrition_Final_Data].[years_at_company].[All]" dimensionUniqueName="[HR_Attrition_Final_Data]" displayFolder="" count="0" memberValueDatatype="20" unbalanced="0"/>
    <cacheHierarchy uniqueName="[HR_Attrition_Final_Data].[age]" caption="age" attribute="1" defaultMemberUniqueName="[HR_Attrition_Final_Data].[age].[All]" allUniqueName="[HR_Attrition_Final_Data].[age].[All]" dimensionUniqueName="[HR_Attrition_Final_Data]" displayFolder="" count="0" memberValueDatatype="20" unbalanced="0"/>
    <cacheHierarchy uniqueName="[HR_Attrition_Final_Data].[gender]" caption="gender" attribute="1" defaultMemberUniqueName="[HR_Attrition_Final_Data].[gender].[All]" allUniqueName="[HR_Attrition_Final_Data].[gender].[All]" dimensionUniqueName="[HR_Attrition_Final_Data]" displayFolder="" count="0" memberValueDatatype="130" unbalanced="0"/>
    <cacheHierarchy uniqueName="[Measures].[Total Employees]" caption="Total Employees" measure="1" displayFolder="" measureGroup="HR_Attrition_Final_Data" count="0"/>
    <cacheHierarchy uniqueName="[Measures].[Attrition Count]" caption="Attrition Count" measure="1" displayFolder="" measureGroup="HR_Attrition_Final_Data" count="0"/>
    <cacheHierarchy uniqueName="[Measures].[Attrition Rate]" caption="Attrition Rate" measure="1" displayFolder="" measureGroup="HR_Attrition_Final_Data" count="0" oneField="1">
      <fieldsUsage count="1">
        <fieldUsage x="1"/>
      </fieldsUsage>
    </cacheHierarchy>
    <cacheHierarchy uniqueName="[Measures].[Overtime Attrition Count]" caption="Overtime Attrition Count" measure="1" displayFolder="" measureGroup="HR_Attrition_Final_Data" count="0"/>
    <cacheHierarchy uniqueName="[Measures].[Total Overtime Employees]" caption="Total Overtime Employees" measure="1" displayFolder="" measureGroup="HR_Attrition_Final_Data" count="0"/>
    <cacheHierarchy uniqueName="[Measures].[Overtime Attrition Rate]" caption="Overtime Attrition Rate" measure="1" displayFolder="" measureGroup="HR_Attrition_Final_Data" count="0"/>
    <cacheHierarchy uniqueName="[Measures].[__XL_Count HR_Attrition_Final_Data]" caption="__XL_Count HR_Attrition_Final_Data" measure="1" displayFolder="" measureGroup="HR_Attrition_Final_Data" count="0" hidden="1"/>
    <cacheHierarchy uniqueName="[Measures].[__No measures defined]" caption="__No measures defined" measure="1" displayFolder="" count="0" hidden="1"/>
  </cacheHierarchies>
  <kpis count="0"/>
  <dimensions count="2">
    <dimension name="HR_Attrition_Final_Data" uniqueName="[HR_Attrition_Final_Data]" caption="HR_Attrition_Final_Data"/>
    <dimension measure="1" name="Measures" uniqueName="[Measures]" caption="Measures"/>
  </dimensions>
  <measureGroups count="1">
    <measureGroup name="HR_Attrition_Final_Data" caption="HR_Attrition_Fin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ram blvss" refreshedDate="46073.508622453701" backgroundQuery="1" createdVersion="8" refreshedVersion="8" minRefreshableVersion="3" recordCount="0" supportSubquery="1" supportAdvancedDrill="1" xr:uid="{0D7DE158-2F20-4158-A472-D545A35DF660}">
  <cacheSource type="external" connectionId="2"/>
  <cacheFields count="3">
    <cacheField name="[HR_Attrition_Final_Data].[overtime].[overtime]" caption="overtime" numFmtId="0" hierarchy="5" level="1">
      <sharedItems count="2">
        <s v="No"/>
        <s v="Yes"/>
      </sharedItems>
    </cacheField>
    <cacheField name="[Measures].[Attrition Rate]" caption="Attrition Rate" numFmtId="0" hierarchy="11" level="32767"/>
    <cacheField name="[HR_Attrition_Final_Data].[department].[department]" caption="department" numFmtId="0" hierarchy="2" level="1">
      <sharedItems containsSemiMixedTypes="0" containsNonDate="0" containsString="0"/>
    </cacheField>
  </cacheFields>
  <cacheHierarchies count="17">
    <cacheHierarchy uniqueName="[HR_Attrition_Final_Data].[employee_id]" caption="employee_id" attribute="1" defaultMemberUniqueName="[HR_Attrition_Final_Data].[employee_id].[All]" allUniqueName="[HR_Attrition_Final_Data].[employee_id].[All]" dimensionUniqueName="[HR_Attrition_Final_Data]" displayFolder="" count="0" memberValueDatatype="20" unbalanced="0"/>
    <cacheHierarchy uniqueName="[HR_Attrition_Final_Data].[attrition]" caption="attrition" attribute="1" defaultMemberUniqueName="[HR_Attrition_Final_Data].[attrition].[All]" allUniqueName="[HR_Attrition_Final_Data].[attrition].[All]" dimensionUniqueName="[HR_Attrition_Final_Data]" displayFolder="" count="0" memberValueDatatype="130" unbalanced="0"/>
    <cacheHierarchy uniqueName="[HR_Attrition_Final_Data].[department]" caption="department" attribute="1" defaultMemberUniqueName="[HR_Attrition_Final_Data].[department].[All]" allUniqueName="[HR_Attrition_Final_Data].[department].[All]" dimensionUniqueName="[HR_Attrition_Final_Data]" displayFolder="" count="2" memberValueDatatype="130" unbalanced="0">
      <fieldsUsage count="2">
        <fieldUsage x="-1"/>
        <fieldUsage x="2"/>
      </fieldsUsage>
    </cacheHierarchy>
    <cacheHierarchy uniqueName="[HR_Attrition_Final_Data].[job_role]" caption="job_role" attribute="1" defaultMemberUniqueName="[HR_Attrition_Final_Data].[job_role].[All]" allUniqueName="[HR_Attrition_Final_Data].[job_role].[All]" dimensionUniqueName="[HR_Attrition_Final_Data]" displayFolder="" count="0" memberValueDatatype="130" unbalanced="0"/>
    <cacheHierarchy uniqueName="[HR_Attrition_Final_Data].[monthly_income]" caption="monthly_income" attribute="1" defaultMemberUniqueName="[HR_Attrition_Final_Data].[monthly_income].[All]" allUniqueName="[HR_Attrition_Final_Data].[monthly_income].[All]" dimensionUniqueName="[HR_Attrition_Final_Data]" displayFolder="" count="0" memberValueDatatype="5" unbalanced="0"/>
    <cacheHierarchy uniqueName="[HR_Attrition_Final_Data].[overtime]" caption="overtime" attribute="1" defaultMemberUniqueName="[HR_Attrition_Final_Data].[overtime].[All]" allUniqueName="[HR_Attrition_Final_Data].[overtime].[All]" dimensionUniqueName="[HR_Attrition_Final_Data]" displayFolder="" count="2" memberValueDatatype="130" unbalanced="0">
      <fieldsUsage count="2">
        <fieldUsage x="-1"/>
        <fieldUsage x="0"/>
      </fieldsUsage>
    </cacheHierarchy>
    <cacheHierarchy uniqueName="[HR_Attrition_Final_Data].[years_at_company]" caption="years_at_company" attribute="1" defaultMemberUniqueName="[HR_Attrition_Final_Data].[years_at_company].[All]" allUniqueName="[HR_Attrition_Final_Data].[years_at_company].[All]" dimensionUniqueName="[HR_Attrition_Final_Data]" displayFolder="" count="0" memberValueDatatype="20" unbalanced="0"/>
    <cacheHierarchy uniqueName="[HR_Attrition_Final_Data].[age]" caption="age" attribute="1" defaultMemberUniqueName="[HR_Attrition_Final_Data].[age].[All]" allUniqueName="[HR_Attrition_Final_Data].[age].[All]" dimensionUniqueName="[HR_Attrition_Final_Data]" displayFolder="" count="0" memberValueDatatype="20" unbalanced="0"/>
    <cacheHierarchy uniqueName="[HR_Attrition_Final_Data].[gender]" caption="gender" attribute="1" defaultMemberUniqueName="[HR_Attrition_Final_Data].[gender].[All]" allUniqueName="[HR_Attrition_Final_Data].[gender].[All]" dimensionUniqueName="[HR_Attrition_Final_Data]" displayFolder="" count="0" memberValueDatatype="130" unbalanced="0"/>
    <cacheHierarchy uniqueName="[Measures].[Total Employees]" caption="Total Employees" measure="1" displayFolder="" measureGroup="HR_Attrition_Final_Data" count="0"/>
    <cacheHierarchy uniqueName="[Measures].[Attrition Count]" caption="Attrition Count" measure="1" displayFolder="" measureGroup="HR_Attrition_Final_Data" count="0"/>
    <cacheHierarchy uniqueName="[Measures].[Attrition Rate]" caption="Attrition Rate" measure="1" displayFolder="" measureGroup="HR_Attrition_Final_Data" count="0" oneField="1">
      <fieldsUsage count="1">
        <fieldUsage x="1"/>
      </fieldsUsage>
    </cacheHierarchy>
    <cacheHierarchy uniqueName="[Measures].[Overtime Attrition Count]" caption="Overtime Attrition Count" measure="1" displayFolder="" measureGroup="HR_Attrition_Final_Data" count="0"/>
    <cacheHierarchy uniqueName="[Measures].[Total Overtime Employees]" caption="Total Overtime Employees" measure="1" displayFolder="" measureGroup="HR_Attrition_Final_Data" count="0"/>
    <cacheHierarchy uniqueName="[Measures].[Overtime Attrition Rate]" caption="Overtime Attrition Rate" measure="1" displayFolder="" measureGroup="HR_Attrition_Final_Data" count="0"/>
    <cacheHierarchy uniqueName="[Measures].[__XL_Count HR_Attrition_Final_Data]" caption="__XL_Count HR_Attrition_Final_Data" measure="1" displayFolder="" measureGroup="HR_Attrition_Final_Data" count="0" hidden="1"/>
    <cacheHierarchy uniqueName="[Measures].[__No measures defined]" caption="__No measures defined" measure="1" displayFolder="" count="0" hidden="1"/>
  </cacheHierarchies>
  <kpis count="0"/>
  <dimensions count="2">
    <dimension name="HR_Attrition_Final_Data" uniqueName="[HR_Attrition_Final_Data]" caption="HR_Attrition_Final_Data"/>
    <dimension measure="1" name="Measures" uniqueName="[Measures]" caption="Measures"/>
  </dimensions>
  <measureGroups count="1">
    <measureGroup name="HR_Attrition_Final_Data" caption="HR_Attrition_Fin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ram blvss" refreshedDate="46072.611911805558" backgroundQuery="1" createdVersion="3" refreshedVersion="8" minRefreshableVersion="3" recordCount="0" supportSubquery="1" supportAdvancedDrill="1" xr:uid="{A681BCD6-8D5F-44DE-AC45-47ED4444E980}">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HR_Attrition_Final_Data].[employee_id]" caption="employee_id" attribute="1" defaultMemberUniqueName="[HR_Attrition_Final_Data].[employee_id].[All]" allUniqueName="[HR_Attrition_Final_Data].[employee_id].[All]" dimensionUniqueName="[HR_Attrition_Final_Data]" displayFolder="" count="0" memberValueDatatype="20" unbalanced="0"/>
    <cacheHierarchy uniqueName="[HR_Attrition_Final_Data].[attrition]" caption="attrition" attribute="1" defaultMemberUniqueName="[HR_Attrition_Final_Data].[attrition].[All]" allUniqueName="[HR_Attrition_Final_Data].[attrition].[All]" dimensionUniqueName="[HR_Attrition_Final_Data]" displayFolder="" count="0" memberValueDatatype="130" unbalanced="0"/>
    <cacheHierarchy uniqueName="[HR_Attrition_Final_Data].[department]" caption="department" attribute="1" defaultMemberUniqueName="[HR_Attrition_Final_Data].[department].[All]" allUniqueName="[HR_Attrition_Final_Data].[department].[All]" dimensionUniqueName="[HR_Attrition_Final_Data]" displayFolder="" count="2" memberValueDatatype="130" unbalanced="0"/>
    <cacheHierarchy uniqueName="[HR_Attrition_Final_Data].[job_role]" caption="job_role" attribute="1" defaultMemberUniqueName="[HR_Attrition_Final_Data].[job_role].[All]" allUniqueName="[HR_Attrition_Final_Data].[job_role].[All]" dimensionUniqueName="[HR_Attrition_Final_Data]" displayFolder="" count="2" memberValueDatatype="130" unbalanced="0"/>
    <cacheHierarchy uniqueName="[HR_Attrition_Final_Data].[monthly_income]" caption="monthly_income" attribute="1" defaultMemberUniqueName="[HR_Attrition_Final_Data].[monthly_income].[All]" allUniqueName="[HR_Attrition_Final_Data].[monthly_income].[All]" dimensionUniqueName="[HR_Attrition_Final_Data]" displayFolder="" count="0" memberValueDatatype="5" unbalanced="0"/>
    <cacheHierarchy uniqueName="[HR_Attrition_Final_Data].[overtime]" caption="overtime" attribute="1" defaultMemberUniqueName="[HR_Attrition_Final_Data].[overtime].[All]" allUniqueName="[HR_Attrition_Final_Data].[overtime].[All]" dimensionUniqueName="[HR_Attrition_Final_Data]" displayFolder="" count="2" memberValueDatatype="130" unbalanced="0"/>
    <cacheHierarchy uniqueName="[HR_Attrition_Final_Data].[years_at_company]" caption="years_at_company" attribute="1" defaultMemberUniqueName="[HR_Attrition_Final_Data].[years_at_company].[All]" allUniqueName="[HR_Attrition_Final_Data].[years_at_company].[All]" dimensionUniqueName="[HR_Attrition_Final_Data]" displayFolder="" count="0" memberValueDatatype="20" unbalanced="0"/>
    <cacheHierarchy uniqueName="[HR_Attrition_Final_Data].[age]" caption="age" attribute="1" defaultMemberUniqueName="[HR_Attrition_Final_Data].[age].[All]" allUniqueName="[HR_Attrition_Final_Data].[age].[All]" dimensionUniqueName="[HR_Attrition_Final_Data]" displayFolder="" count="0" memberValueDatatype="20" unbalanced="0"/>
    <cacheHierarchy uniqueName="[HR_Attrition_Final_Data].[gender]" caption="gender" attribute="1" defaultMemberUniqueName="[HR_Attrition_Final_Data].[gender].[All]" allUniqueName="[HR_Attrition_Final_Data].[gender].[All]" dimensionUniqueName="[HR_Attrition_Final_Data]" displayFolder="" count="0" memberValueDatatype="130" unbalanced="0"/>
    <cacheHierarchy uniqueName="[Measures].[Total Employees]" caption="Total Employees" measure="1" displayFolder="" measureGroup="HR_Attrition_Final_Data" count="0"/>
    <cacheHierarchy uniqueName="[Measures].[Attrition Count]" caption="Attrition Count" measure="1" displayFolder="" measureGroup="HR_Attrition_Final_Data" count="0"/>
    <cacheHierarchy uniqueName="[Measures].[Attrition Rate]" caption="Attrition Rate" measure="1" displayFolder="" measureGroup="HR_Attrition_Final_Data" count="0"/>
    <cacheHierarchy uniqueName="[Measures].[Overtime Attrition Count]" caption="Overtime Attrition Count" measure="1" displayFolder="" measureGroup="HR_Attrition_Final_Data" count="0"/>
    <cacheHierarchy uniqueName="[Measures].[Total Overtime Employees]" caption="Total Overtime Employees" measure="1" displayFolder="" measureGroup="HR_Attrition_Final_Data" count="0"/>
    <cacheHierarchy uniqueName="[Measures].[Overtime Attrition Rate]" caption="Overtime Attrition Rate" measure="1" displayFolder="" measureGroup="HR_Attrition_Final_Data" count="0"/>
    <cacheHierarchy uniqueName="[Measures].[__XL_Count HR_Attrition_Final_Data]" caption="__XL_Count HR_Attrition_Final_Data" measure="1" displayFolder="" measureGroup="HR_Attrition_Final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481898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4F85C-CFD0-4F98-A448-B79D8B9B8CB0}" name="PivotTable2" cacheId="2" dataOnRows="1"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location ref="B3:C8" firstHeaderRow="0" firstDataRow="0"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6">
    <i>
      <x/>
    </i>
    <i i="1">
      <x v="1"/>
    </i>
    <i i="2">
      <x v="2"/>
    </i>
    <i i="3">
      <x v="3"/>
    </i>
    <i i="4">
      <x v="4"/>
    </i>
    <i i="5">
      <x v="5"/>
    </i>
  </rowItems>
  <colItems count="1">
    <i/>
  </colItems>
  <dataFields count="6">
    <dataField fld="0" subtotal="count" baseField="0" baseItem="0"/>
    <dataField fld="1" subtotal="count" baseField="0" baseItem="0"/>
    <dataField fld="2" subtotal="count" baseField="0" baseItem="0"/>
    <dataField fld="5" subtotal="count" baseField="0" baseItem="0"/>
    <dataField fld="3" subtotal="count" baseField="0" baseItem="0"/>
    <dataField fld="4" subtotal="count" baseField="0" baseItem="0"/>
  </dataFields>
  <formats count="13">
    <format dxfId="48">
      <pivotArea type="all" dataOnly="0" outline="0" fieldPosition="0"/>
    </format>
    <format dxfId="47">
      <pivotArea outline="0" collapsedLevelsAreSubtotals="1" fieldPosition="0"/>
    </format>
    <format dxfId="46">
      <pivotArea dataOnly="0" labelOnly="1" outline="0" fieldPosition="0">
        <references count="1">
          <reference field="4294967294" count="6">
            <x v="0"/>
            <x v="1"/>
            <x v="2"/>
            <x v="3"/>
            <x v="4"/>
            <x v="5"/>
          </reference>
        </references>
      </pivotArea>
    </format>
    <format dxfId="45">
      <pivotArea fieldPosition="0">
        <references count="1">
          <reference field="4294967294" count="1">
            <x v="0"/>
          </reference>
        </references>
      </pivotArea>
    </format>
    <format dxfId="44">
      <pivotArea type="all" dataOnly="0" outline="0" fieldPosition="0"/>
    </format>
    <format dxfId="43">
      <pivotArea fieldPosition="0">
        <references count="1">
          <reference field="4294967294" count="1">
            <x v="0"/>
          </reference>
        </references>
      </pivotArea>
    </format>
    <format dxfId="42">
      <pivotArea collapsedLevelsAreSubtotals="1" fieldPosition="0">
        <references count="1">
          <reference field="4294967294" count="1">
            <x v="2"/>
          </reference>
        </references>
      </pivotArea>
    </format>
    <format dxfId="41">
      <pivotArea collapsedLevelsAreSubtotals="1" fieldPosition="0">
        <references count="1">
          <reference field="4294967294" count="1">
            <x v="5"/>
          </reference>
        </references>
      </pivotArea>
    </format>
    <format dxfId="40">
      <pivotArea fieldPosition="0">
        <references count="1">
          <reference field="4294967294" count="1">
            <x v="0"/>
          </reference>
        </references>
      </pivotArea>
    </format>
    <format dxfId="39">
      <pivotArea type="all" dataOnly="0" outline="0" fieldPosition="0"/>
    </format>
    <format dxfId="38">
      <pivotArea outline="0" collapsedLevelsAreSubtotals="1" fieldPosition="0"/>
    </format>
    <format dxfId="37">
      <pivotArea dataOnly="0" labelOnly="1" outline="0" fieldPosition="0">
        <references count="1">
          <reference field="4294967294" count="6">
            <x v="0"/>
            <x v="1"/>
            <x v="2"/>
            <x v="3"/>
            <x v="4"/>
            <x v="5"/>
          </reference>
        </references>
      </pivotArea>
    </format>
    <format dxfId="36">
      <pivotArea fieldPosition="0">
        <references count="1">
          <reference field="4294967294" count="1">
            <x v="0"/>
          </reference>
        </references>
      </pivotArea>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3"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ttrition_Fin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C9885-15F3-4CC0-9FBE-3C38B7219A0E}" name="PivotTable5" cacheId="24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showHeaders="0" outline="1" outlineData="1" multipleFieldFilters="0" chartFormat="5">
  <location ref="A25:B27"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v="1"/>
    </i>
    <i>
      <x/>
    </i>
  </rowItems>
  <colItems count="1">
    <i/>
  </colItems>
  <dataFields count="1">
    <dataField fld="1" subtotal="count" baseField="0" baseItem="0"/>
  </dataFields>
  <formats count="12">
    <format dxfId="12">
      <pivotArea type="all" dataOnly="0" outline="0" fieldPosition="0"/>
    </format>
    <format dxfId="13">
      <pivotArea outline="0" collapsedLevelsAreSubtotals="1" fieldPosition="0"/>
    </format>
    <format dxfId="14">
      <pivotArea dataOnly="0" labelOnly="1" fieldPosition="0">
        <references count="1">
          <reference field="0" count="0"/>
        </references>
      </pivotArea>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dataOnly="0" labelOnly="1" fieldPosition="0">
        <references count="1">
          <reference field="0" count="0"/>
        </references>
      </pivotArea>
    </format>
    <format dxfId="19">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fieldPosition="0">
        <references count="1">
          <reference field="0" count="0"/>
        </references>
      </pivotArea>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ttrition_Fin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2E7EE5-EA07-4A1A-8A3C-CE3DE050E5B0}" name="PivotTable4" cacheId="24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showHeaders="0" outline="1" outlineData="1" multipleFieldFilters="0" chartFormat="6">
  <location ref="A11:B20"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8"/>
    </i>
    <i>
      <x v="2"/>
    </i>
    <i>
      <x v="1"/>
    </i>
    <i>
      <x v="7"/>
    </i>
    <i>
      <x v="6"/>
    </i>
    <i>
      <x v="4"/>
    </i>
    <i>
      <x/>
    </i>
    <i>
      <x v="3"/>
    </i>
    <i>
      <x v="5"/>
    </i>
  </rowItems>
  <colItems count="1">
    <i/>
  </colItems>
  <dataFields count="1">
    <dataField fld="1" subtotal="count" baseField="0" baseItem="0"/>
  </dataFields>
  <formats count="12">
    <format dxfId="20">
      <pivotArea type="all" dataOnly="0" outline="0" fieldPosition="0"/>
    </format>
    <format dxfId="21">
      <pivotArea outline="0" collapsedLevelsAreSubtotals="1" fieldPosition="0"/>
    </format>
    <format dxfId="22">
      <pivotArea dataOnly="0" labelOnly="1" fieldPosition="0">
        <references count="1">
          <reference field="0" count="0"/>
        </references>
      </pivotArea>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dataOnly="0" labelOnly="1" fieldPosition="0">
        <references count="1">
          <reference field="0" count="0"/>
        </references>
      </pivotArea>
    </format>
    <format dxfId="27">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fieldPosition="0">
        <references count="1">
          <reference field="0" count="0"/>
        </references>
      </pivotArea>
    </format>
    <format dxfId="4">
      <pivotArea dataOnly="0" labelOnly="1" outline="0" axis="axisValues" fieldPosition="0"/>
    </format>
  </formats>
  <pivotHierarchies count="1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ttrition_Fin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C1DE43-69FF-4CCA-8945-2A9564084390}" name="PivotTable3" cacheId="24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showHeaders="0" outline="1" outlineData="1" multipleFieldFilters="0" chartFormat="10">
  <location ref="A3:B6"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2"/>
    </i>
    <i>
      <x/>
    </i>
    <i>
      <x v="1"/>
    </i>
  </rowItems>
  <colItems count="1">
    <i/>
  </colItems>
  <dataFields count="1">
    <dataField fld="1" subtotal="count" baseField="0" baseItem="0"/>
  </dataFields>
  <formats count="12">
    <format dxfId="28">
      <pivotArea type="all" dataOnly="0" outline="0" fieldPosition="0"/>
    </format>
    <format dxfId="29">
      <pivotArea outline="0" collapsedLevelsAreSubtotals="1" fieldPosition="0"/>
    </format>
    <format dxfId="30">
      <pivotArea dataOnly="0" labelOnly="1" fieldPosition="0">
        <references count="1">
          <reference field="0" count="0"/>
        </references>
      </pivotArea>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dataOnly="0" labelOnly="1" fieldPosition="0">
        <references count="1">
          <reference field="0" count="0"/>
        </references>
      </pivotArea>
    </format>
    <format dxfId="35">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fieldPosition="0">
        <references count="1">
          <reference field="0" count="0"/>
        </references>
      </pivotArea>
    </format>
    <format dxfId="8">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ttrition_Final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97D776-424D-4DE1-833E-7AAEDD1F0A0E}" sourceName="[HR_Attrition_Final_Data].[department]">
  <pivotTables>
    <pivotTable tabId="2" name="PivotTable3"/>
    <pivotTable tabId="2" name="PivotTable4"/>
    <pivotTable tabId="2" name="PivotTable5"/>
  </pivotTables>
  <data>
    <olap pivotCacheId="348189809">
      <levels count="2">
        <level uniqueName="[HR_Attrition_Final_Data].[department].[(All)]" sourceCaption="(All)" count="0"/>
        <level uniqueName="[HR_Attrition_Final_Data].[department].[department]" sourceCaption="department" count="3" sortOrder="descending">
          <ranges>
            <range startItem="0">
              <i n="[HR_Attrition_Final_Data].[department].&amp;[Sales]" c="Sales"/>
              <i n="[HR_Attrition_Final_Data].[department].&amp;[Research &amp; Development]" c="Research &amp; Development"/>
              <i n="[HR_Attrition_Final_Data].[department].&amp;[Human Resources]" c="Human Resources"/>
            </range>
          </ranges>
        </level>
      </levels>
      <selections count="1">
        <selection n="[HR_Attrition_Final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AA305016-B94C-437F-8B85-980E41EA0752}" sourceName="[HR_Attrition_Final_Data].[job_role]">
  <pivotTables>
    <pivotTable tabId="2" name="PivotTable3"/>
  </pivotTables>
  <data>
    <olap pivotCacheId="348189809">
      <levels count="2">
        <level uniqueName="[HR_Attrition_Final_Data].[job_role].[(All)]" sourceCaption="(All)" count="0"/>
        <level uniqueName="[HR_Attrition_Final_Data].[job_role].[job_role]" sourceCaption="job_role" count="9" sortOrder="descending">
          <ranges>
            <range startItem="0">
              <i n="[HR_Attrition_Final_Data].[job_role].&amp;[Sales Representative]" c="Sales Representative"/>
              <i n="[HR_Attrition_Final_Data].[job_role].&amp;[Sales Executive]" c="Sales Executive"/>
              <i n="[HR_Attrition_Final_Data].[job_role].&amp;[Research Scientist]" c="Research Scientist"/>
              <i n="[HR_Attrition_Final_Data].[job_role].&amp;[Research Director]" c="Research Director"/>
              <i n="[HR_Attrition_Final_Data].[job_role].&amp;[Manufacturing Director]" c="Manufacturing Director"/>
              <i n="[HR_Attrition_Final_Data].[job_role].&amp;[Manager]" c="Manager"/>
              <i n="[HR_Attrition_Final_Data].[job_role].&amp;[Laboratory Technician]" c="Laboratory Technician"/>
              <i n="[HR_Attrition_Final_Data].[job_role].&amp;[Human Resources]" c="Human Resources"/>
              <i n="[HR_Attrition_Final_Data].[job_role].&amp;[Healthcare Representative]" c="Healthcare Representative"/>
            </range>
          </ranges>
        </level>
      </levels>
      <selections count="1">
        <selection n="[HR_Attrition_Final_Data].[job_ro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AA207CF-393E-4F36-86CC-32AD7DE86F39}" sourceName="[HR_Attrition_Final_Data].[overtime]">
  <pivotTables>
    <pivotTable tabId="2" name="PivotTable3"/>
  </pivotTables>
  <data>
    <olap pivotCacheId="348189809">
      <levels count="2">
        <level uniqueName="[HR_Attrition_Final_Data].[overtime].[(All)]" sourceCaption="(All)" count="0"/>
        <level uniqueName="[HR_Attrition_Final_Data].[overtime].[overtime]" sourceCaption="overtime" count="2" sortOrder="descending">
          <ranges>
            <range startItem="0">
              <i n="[HR_Attrition_Final_Data].[overtime].&amp;[Yes]" c="Yes"/>
              <i n="[HR_Attrition_Final_Data].[overtime].&amp;[No]" c="No"/>
            </range>
          </ranges>
        </level>
      </levels>
      <selections count="1">
        <selection n="[HR_Attrition_Final_Data].[over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partment" xr10:uid="{F3D36A6C-5DD5-4F8E-9067-1755664C79B7}" cache="Slicer_department" caption="Department" level="1" rowHeight="252000"/>
  <slicer name="job_role" xr10:uid="{B2A2FF79-A0B7-4416-9588-F39372FF6393}" cache="Slicer_job_role" caption="JobRole" level="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E07E54A-F15F-4330-BB7C-3EDA8EFCDC20}" cache="Slicer_department" caption="Department" level="1" rowHeight="360000"/>
  <slicer name="job_role 1" xr10:uid="{878E9C3A-E38D-46F4-BE72-D0878289EC8E}" cache="Slicer_job_role" caption="JobRole" level="1" rowHeight="360000"/>
  <slicer name="overtime" xr10:uid="{CDB71EC8-F7BC-485D-A280-EF11B79D551F}" cache="Slicer_overtime" caption="Overtime" level="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053B-0CFA-4727-A5D5-2930BA0B53CE}">
  <sheetPr codeName="Sheet4"/>
  <dimension ref="B2:C8"/>
  <sheetViews>
    <sheetView showGridLines="0" showRowColHeaders="0" tabSelected="1" topLeftCell="B1" zoomScale="200" zoomScaleNormal="200" workbookViewId="0">
      <selection activeCell="C15" sqref="C15"/>
    </sheetView>
  </sheetViews>
  <sheetFormatPr defaultRowHeight="14.4" x14ac:dyDescent="0.3"/>
  <cols>
    <col min="2" max="2" width="23.5546875" customWidth="1"/>
    <col min="3" max="3" width="7" bestFit="1" customWidth="1"/>
    <col min="7" max="7" width="18.6640625" customWidth="1"/>
  </cols>
  <sheetData>
    <row r="2" spans="2:3" ht="15" thickBot="1" x14ac:dyDescent="0.35"/>
    <row r="3" spans="2:3" x14ac:dyDescent="0.3">
      <c r="B3" s="4" t="s">
        <v>0</v>
      </c>
      <c r="C3" s="10">
        <v>1470</v>
      </c>
    </row>
    <row r="4" spans="2:3" x14ac:dyDescent="0.3">
      <c r="B4" s="5" t="s">
        <v>1</v>
      </c>
      <c r="C4" s="6">
        <v>237</v>
      </c>
    </row>
    <row r="5" spans="2:3" x14ac:dyDescent="0.3">
      <c r="B5" s="5" t="s">
        <v>4</v>
      </c>
      <c r="C5" s="8">
        <v>0.16122448979591836</v>
      </c>
    </row>
    <row r="6" spans="2:3" x14ac:dyDescent="0.3">
      <c r="B6" s="5" t="s">
        <v>3</v>
      </c>
      <c r="C6" s="6">
        <v>416</v>
      </c>
    </row>
    <row r="7" spans="2:3" x14ac:dyDescent="0.3">
      <c r="B7" s="5" t="s">
        <v>2</v>
      </c>
      <c r="C7" s="6">
        <v>127</v>
      </c>
    </row>
    <row r="8" spans="2:3" ht="15" thickBot="1" x14ac:dyDescent="0.35">
      <c r="B8" s="7" t="s">
        <v>5</v>
      </c>
      <c r="C8" s="9">
        <v>0.30528846153846156</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8846-B578-4357-9246-21E1211AB95A}">
  <sheetPr codeName="Sheet2"/>
  <dimension ref="A2:B27"/>
  <sheetViews>
    <sheetView showGridLines="0" showRowColHeaders="0" zoomScale="85" zoomScaleNormal="85" workbookViewId="0">
      <selection activeCell="B11" sqref="P20"/>
    </sheetView>
  </sheetViews>
  <sheetFormatPr defaultRowHeight="14.4" x14ac:dyDescent="0.3"/>
  <cols>
    <col min="1" max="1" width="35.5546875" customWidth="1"/>
    <col min="2" max="2" width="16.33203125" bestFit="1" customWidth="1"/>
    <col min="3" max="3" width="12.21875" bestFit="1" customWidth="1"/>
    <col min="4" max="4" width="8.88671875" customWidth="1"/>
  </cols>
  <sheetData>
    <row r="2" spans="1:2" ht="18.600000000000001" thickBot="1" x14ac:dyDescent="0.4">
      <c r="A2" s="1" t="s">
        <v>17</v>
      </c>
      <c r="B2" s="2"/>
    </row>
    <row r="3" spans="1:2" ht="18.600000000000001" thickBot="1" x14ac:dyDescent="0.4">
      <c r="A3" s="15"/>
      <c r="B3" s="16" t="s">
        <v>4</v>
      </c>
    </row>
    <row r="4" spans="1:2" ht="18" x14ac:dyDescent="0.35">
      <c r="A4" s="17" t="s">
        <v>15</v>
      </c>
      <c r="B4" s="18">
        <v>0.20627802690582961</v>
      </c>
    </row>
    <row r="5" spans="1:2" ht="18" x14ac:dyDescent="0.35">
      <c r="A5" s="19" t="s">
        <v>16</v>
      </c>
      <c r="B5" s="20">
        <v>0.19047619047619047</v>
      </c>
    </row>
    <row r="6" spans="1:2" ht="18.600000000000001" thickBot="1" x14ac:dyDescent="0.4">
      <c r="A6" s="21" t="s">
        <v>7</v>
      </c>
      <c r="B6" s="22">
        <v>0.13839750260145681</v>
      </c>
    </row>
    <row r="10" spans="1:2" ht="18.600000000000001" thickBot="1" x14ac:dyDescent="0.4">
      <c r="A10" s="3" t="s">
        <v>18</v>
      </c>
      <c r="B10" s="2"/>
    </row>
    <row r="11" spans="1:2" ht="18.600000000000001" thickBot="1" x14ac:dyDescent="0.4">
      <c r="A11" s="15"/>
      <c r="B11" s="16" t="s">
        <v>4</v>
      </c>
    </row>
    <row r="12" spans="1:2" ht="18" x14ac:dyDescent="0.35">
      <c r="A12" s="17" t="s">
        <v>20</v>
      </c>
      <c r="B12" s="18">
        <v>0.39759036144578314</v>
      </c>
    </row>
    <row r="13" spans="1:2" ht="18" x14ac:dyDescent="0.35">
      <c r="A13" s="19" t="s">
        <v>10</v>
      </c>
      <c r="B13" s="20">
        <v>0.23938223938223938</v>
      </c>
    </row>
    <row r="14" spans="1:2" ht="18" x14ac:dyDescent="0.35">
      <c r="A14" s="19" t="s">
        <v>16</v>
      </c>
      <c r="B14" s="20">
        <v>0.23076923076923078</v>
      </c>
    </row>
    <row r="15" spans="1:2" ht="18" x14ac:dyDescent="0.35">
      <c r="A15" s="19" t="s">
        <v>19</v>
      </c>
      <c r="B15" s="20">
        <v>0.17484662576687116</v>
      </c>
    </row>
    <row r="16" spans="1:2" ht="18" x14ac:dyDescent="0.35">
      <c r="A16" s="19" t="s">
        <v>8</v>
      </c>
      <c r="B16" s="20">
        <v>0.16095890410958905</v>
      </c>
    </row>
    <row r="17" spans="1:2" ht="18" x14ac:dyDescent="0.35">
      <c r="A17" s="19" t="s">
        <v>11</v>
      </c>
      <c r="B17" s="20">
        <v>6.8965517241379309E-2</v>
      </c>
    </row>
    <row r="18" spans="1:2" ht="18" x14ac:dyDescent="0.35">
      <c r="A18" s="19" t="s">
        <v>12</v>
      </c>
      <c r="B18" s="20">
        <v>6.8702290076335881E-2</v>
      </c>
    </row>
    <row r="19" spans="1:2" ht="18" x14ac:dyDescent="0.35">
      <c r="A19" s="19" t="s">
        <v>14</v>
      </c>
      <c r="B19" s="20">
        <v>4.9019607843137254E-2</v>
      </c>
    </row>
    <row r="20" spans="1:2" ht="18.600000000000001" thickBot="1" x14ac:dyDescent="0.4">
      <c r="A20" s="21" t="s">
        <v>13</v>
      </c>
      <c r="B20" s="22">
        <v>2.5000000000000001E-2</v>
      </c>
    </row>
    <row r="24" spans="1:2" ht="18.600000000000001" thickBot="1" x14ac:dyDescent="0.4">
      <c r="A24" s="3" t="s">
        <v>21</v>
      </c>
      <c r="B24" s="2"/>
    </row>
    <row r="25" spans="1:2" ht="18.600000000000001" thickBot="1" x14ac:dyDescent="0.4">
      <c r="A25" s="15"/>
      <c r="B25" s="16" t="s">
        <v>4</v>
      </c>
    </row>
    <row r="26" spans="1:2" ht="18" x14ac:dyDescent="0.35">
      <c r="A26" s="17" t="s">
        <v>9</v>
      </c>
      <c r="B26" s="18">
        <v>0.30528846153846156</v>
      </c>
    </row>
    <row r="27" spans="1:2" ht="18.600000000000001" thickBot="1" x14ac:dyDescent="0.4">
      <c r="A27" s="21" t="s">
        <v>6</v>
      </c>
      <c r="B27" s="22">
        <v>0.10436432637571158</v>
      </c>
    </row>
  </sheetData>
  <sheetProtection sheet="1" objects="1" scenarios="1" selectLockedCells="1" pivotTables="0"/>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B8AD-55C6-4E87-911F-5239F9927446}">
  <sheetPr codeName="Sheet7"/>
  <dimension ref="B2:D5"/>
  <sheetViews>
    <sheetView workbookViewId="0">
      <selection activeCell="K7" sqref="K7"/>
    </sheetView>
  </sheetViews>
  <sheetFormatPr defaultRowHeight="14.4" x14ac:dyDescent="0.3"/>
  <cols>
    <col min="2" max="2" width="11.6640625" bestFit="1" customWidth="1"/>
  </cols>
  <sheetData>
    <row r="2" spans="2:4" x14ac:dyDescent="0.3">
      <c r="B2" s="13">
        <f>GETPIVOTDATA("[Measures].[Total Employees]",KPI_Summary!$B$3)</f>
        <v>1470</v>
      </c>
      <c r="D2" s="11">
        <f>GETPIVOTDATA("[Measures].[Overtime Attrition Rate]",KPI_Summary!$B$3)</f>
        <v>0.30528846153846156</v>
      </c>
    </row>
    <row r="3" spans="2:4" x14ac:dyDescent="0.3">
      <c r="B3" s="12"/>
    </row>
    <row r="5" spans="2:4" x14ac:dyDescent="0.3">
      <c r="B5" s="11">
        <f>GETPIVOTDATA("[Measures].[Attrition Rate]",KPI_Summary!$B$3)</f>
        <v>0.16122448979591836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BE29-14C0-426F-A441-594F11FE2B1A}">
  <sheetPr codeName="Sheet8"/>
  <dimension ref="D1:L4"/>
  <sheetViews>
    <sheetView showGridLines="0" showRowColHeaders="0" zoomScale="55" zoomScaleNormal="55" workbookViewId="0">
      <selection activeCell="AB36" sqref="AB36"/>
    </sheetView>
  </sheetViews>
  <sheetFormatPr defaultRowHeight="14.4" x14ac:dyDescent="0.3"/>
  <cols>
    <col min="12" max="12" width="8.88671875" customWidth="1"/>
  </cols>
  <sheetData>
    <row r="1" spans="4:12" ht="34.200000000000003" thickBot="1" x14ac:dyDescent="0.7">
      <c r="D1" s="14" t="s">
        <v>22</v>
      </c>
      <c r="E1" s="14"/>
      <c r="F1" s="14"/>
      <c r="G1" s="14"/>
      <c r="H1" s="14"/>
      <c r="I1" s="14"/>
      <c r="J1" s="14"/>
      <c r="K1" s="14"/>
      <c r="L1" s="14"/>
    </row>
    <row r="2" spans="4:12" ht="15" thickTop="1" x14ac:dyDescent="0.3"/>
    <row r="4" spans="4:12" x14ac:dyDescent="0.3">
      <c r="G4" s="11"/>
    </row>
  </sheetData>
  <sheetProtection sheet="1" objects="1" scenarios="1" selectLockedCells="1" pivotTables="0"/>
  <mergeCells count="1">
    <mergeCell ref="D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04386B4-960C-4D6B-9422-515B1B77855D}">
  <ds:schemaRefs/>
</ds:datastoreItem>
</file>

<file path=customXml/itemProps2.xml><?xml version="1.0" encoding="utf-8"?>
<ds:datastoreItem xmlns:ds="http://schemas.openxmlformats.org/officeDocument/2006/customXml" ds:itemID="{ACC59AAD-21A5-455C-A1B6-691B719083D1}">
  <ds:schemaRefs/>
</ds:datastoreItem>
</file>

<file path=customXml/itemProps3.xml><?xml version="1.0" encoding="utf-8"?>
<ds:datastoreItem xmlns:ds="http://schemas.openxmlformats.org/officeDocument/2006/customXml" ds:itemID="{39666E1B-9735-4972-B0C8-45754299C7C7}">
  <ds:schemaRefs/>
</ds:datastoreItem>
</file>

<file path=customXml/itemProps4.xml><?xml version="1.0" encoding="utf-8"?>
<ds:datastoreItem xmlns:ds="http://schemas.openxmlformats.org/officeDocument/2006/customXml" ds:itemID="{4C2262C2-2A2F-40A8-8AE4-32AD1F80C845}">
  <ds:schemaRefs/>
</ds:datastoreItem>
</file>

<file path=customXml/itemProps5.xml><?xml version="1.0" encoding="utf-8"?>
<ds:datastoreItem xmlns:ds="http://schemas.openxmlformats.org/officeDocument/2006/customXml" ds:itemID="{AEB06F26-75A6-414F-A3B1-9CA465AB594C}">
  <ds:schemaRefs/>
</ds:datastoreItem>
</file>

<file path=customXml/itemProps6.xml><?xml version="1.0" encoding="utf-8"?>
<ds:datastoreItem xmlns:ds="http://schemas.openxmlformats.org/officeDocument/2006/customXml" ds:itemID="{D5CF7F3C-C90E-4537-B481-4A622C1E80A1}">
  <ds:schemaRefs/>
</ds:datastoreItem>
</file>

<file path=customXml/itemProps7.xml><?xml version="1.0" encoding="utf-8"?>
<ds:datastoreItem xmlns:ds="http://schemas.openxmlformats.org/officeDocument/2006/customXml" ds:itemID="{BCDECA24-4E49-4925-842F-8E9AD3EF54DE}">
  <ds:schemaRefs/>
</ds:datastoreItem>
</file>

<file path=customXml/itemProps8.xml><?xml version="1.0" encoding="utf-8"?>
<ds:datastoreItem xmlns:ds="http://schemas.openxmlformats.org/officeDocument/2006/customXml" ds:itemID="{C50DE647-C947-480B-9166-5954D77CBC7F}">
  <ds:schemaRefs/>
</ds:datastoreItem>
</file>

<file path=customXml/itemProps9.xml><?xml version="1.0" encoding="utf-8"?>
<ds:datastoreItem xmlns:ds="http://schemas.openxmlformats.org/officeDocument/2006/customXml" ds:itemID="{911BEACA-3FA8-465B-A5B0-7A8BCE1B4175}">
  <ds:schemaRefs/>
</ds:datastoreItem>
</file>

<file path=customXml/itemProps10.xml><?xml version="1.0" encoding="utf-8"?>
<ds:datastoreItem xmlns:ds="http://schemas.openxmlformats.org/officeDocument/2006/customXml" ds:itemID="{12AEDFA6-A914-464D-BA75-16712338629D}">
  <ds:schemaRefs/>
</ds:datastoreItem>
</file>

<file path=customXml/itemProps11.xml><?xml version="1.0" encoding="utf-8"?>
<ds:datastoreItem xmlns:ds="http://schemas.openxmlformats.org/officeDocument/2006/customXml" ds:itemID="{52C23F3C-2956-4E9F-9E08-A6EC0A4FA7DD}">
  <ds:schemaRefs/>
</ds:datastoreItem>
</file>

<file path=customXml/itemProps12.xml><?xml version="1.0" encoding="utf-8"?>
<ds:datastoreItem xmlns:ds="http://schemas.openxmlformats.org/officeDocument/2006/customXml" ds:itemID="{A83EB5AA-8109-42DB-BCB7-9A0462472370}">
  <ds:schemaRefs/>
</ds:datastoreItem>
</file>

<file path=customXml/itemProps13.xml><?xml version="1.0" encoding="utf-8"?>
<ds:datastoreItem xmlns:ds="http://schemas.openxmlformats.org/officeDocument/2006/customXml" ds:itemID="{E540E4D8-5467-4CC0-926A-AD546233A149}">
  <ds:schemaRefs/>
</ds:datastoreItem>
</file>

<file path=customXml/itemProps14.xml><?xml version="1.0" encoding="utf-8"?>
<ds:datastoreItem xmlns:ds="http://schemas.openxmlformats.org/officeDocument/2006/customXml" ds:itemID="{F2A9D25B-1C19-43EC-B925-644F9A4030D5}">
  <ds:schemaRefs/>
</ds:datastoreItem>
</file>

<file path=customXml/itemProps15.xml><?xml version="1.0" encoding="utf-8"?>
<ds:datastoreItem xmlns:ds="http://schemas.openxmlformats.org/officeDocument/2006/customXml" ds:itemID="{AEC6E7AC-1681-4DAB-971E-AA743782F54B}">
  <ds:schemaRefs/>
</ds:datastoreItem>
</file>

<file path=customXml/itemProps16.xml><?xml version="1.0" encoding="utf-8"?>
<ds:datastoreItem xmlns:ds="http://schemas.openxmlformats.org/officeDocument/2006/customXml" ds:itemID="{EEA29B7A-84C2-44F2-BBFD-945E1455B5AC}">
  <ds:schemaRefs/>
</ds:datastoreItem>
</file>

<file path=customXml/itemProps17.xml><?xml version="1.0" encoding="utf-8"?>
<ds:datastoreItem xmlns:ds="http://schemas.openxmlformats.org/officeDocument/2006/customXml" ds:itemID="{40CC5CBA-16E3-430E-9436-B761EF137BF6}">
  <ds:schemaRefs/>
</ds:datastoreItem>
</file>

<file path=customXml/itemProps18.xml><?xml version="1.0" encoding="utf-8"?>
<ds:datastoreItem xmlns:ds="http://schemas.openxmlformats.org/officeDocument/2006/customXml" ds:itemID="{CC247761-5B82-43D6-9DE7-34A847DE9DC0}">
  <ds:schemaRefs/>
</ds:datastoreItem>
</file>

<file path=customXml/itemProps19.xml><?xml version="1.0" encoding="utf-8"?>
<ds:datastoreItem xmlns:ds="http://schemas.openxmlformats.org/officeDocument/2006/customXml" ds:itemID="{774BDB28-01CA-4362-ABD3-10F619FD41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KPI_Summary</vt:lpstr>
      <vt:lpstr>Attrition_Analysis</vt:lpstr>
      <vt:lpstr>calculation</vt:lpstr>
      <vt:lpstr>Dashboard</vt:lpstr>
      <vt:lpstr>attritionrate</vt:lpstr>
      <vt:lpstr>overtimeARrate</vt:lpstr>
      <vt:lpstr>totalemp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blvss</dc:creator>
  <cp:lastModifiedBy>vikram blvss</cp:lastModifiedBy>
  <dcterms:created xsi:type="dcterms:W3CDTF">2026-02-16T08:33:23Z</dcterms:created>
  <dcterms:modified xsi:type="dcterms:W3CDTF">2026-02-20T06:52:06Z</dcterms:modified>
</cp:coreProperties>
</file>